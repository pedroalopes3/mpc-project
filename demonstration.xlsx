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drawings/drawing2.xml" ContentType="application/vnd.openxmlformats-officedocument.drawing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Learning\MECD\2sem\SegComm\proj\mpc-project\"/>
    </mc:Choice>
  </mc:AlternateContent>
  <xr:revisionPtr revIDLastSave="0" documentId="13_ncr:1_{A7838CC8-B0ED-4E62-B618-62BA6D29ED0F}" xr6:coauthVersionLast="47" xr6:coauthVersionMax="47" xr10:uidLastSave="{00000000-0000-0000-0000-000000000000}"/>
  <bookViews>
    <workbookView xWindow="-120" yWindow="-120" windowWidth="29040" windowHeight="15840" activeTab="2" xr2:uid="{D225F831-1AED-4309-98C0-BCDCF2B662F6}"/>
  </bookViews>
  <sheets>
    <sheet name="Steps 1,2,3" sheetId="1" r:id="rId1"/>
    <sheet name="Steps 4,5,6,7,8" sheetId="7" r:id="rId2"/>
    <sheet name="baseline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9" i="8" l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W35" i="1"/>
  <c r="U35" i="1"/>
  <c r="U6" i="1"/>
  <c r="V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U23" i="1"/>
  <c r="V23" i="1"/>
  <c r="U24" i="1"/>
  <c r="V24" i="1"/>
  <c r="U25" i="1"/>
  <c r="V25" i="1"/>
  <c r="U26" i="1"/>
  <c r="V26" i="1"/>
  <c r="U27" i="1"/>
  <c r="V27" i="1"/>
  <c r="U28" i="1"/>
  <c r="V28" i="1"/>
  <c r="U29" i="1"/>
  <c r="V29" i="1"/>
  <c r="U30" i="1"/>
  <c r="V30" i="1"/>
  <c r="U31" i="1"/>
  <c r="V31" i="1"/>
  <c r="U32" i="1"/>
  <c r="V32" i="1"/>
  <c r="U33" i="1"/>
  <c r="V33" i="1"/>
  <c r="U34" i="1"/>
  <c r="V34" i="1"/>
  <c r="V5" i="1"/>
  <c r="U5" i="1"/>
  <c r="Y5" i="1" s="1" a="1"/>
  <c r="Y5" i="1" s="1"/>
  <c r="L14" i="8"/>
  <c r="L15" i="8"/>
  <c r="L16" i="8"/>
  <c r="L17" i="8"/>
  <c r="L13" i="8"/>
  <c r="L7" i="8"/>
  <c r="L8" i="8"/>
  <c r="L5" i="8"/>
  <c r="AF28" i="7"/>
  <c r="AG28" i="7" s="1"/>
  <c r="AH28" i="7" s="1"/>
  <c r="AJ28" i="7" s="1"/>
  <c r="AG27" i="7"/>
  <c r="AH27" i="7" s="1"/>
  <c r="AJ27" i="7" s="1"/>
  <c r="AF27" i="7"/>
  <c r="AH26" i="7"/>
  <c r="AJ26" i="7"/>
  <c r="AG26" i="7"/>
  <c r="AF26" i="7"/>
  <c r="AE27" i="7"/>
  <c r="AE28" i="7"/>
  <c r="AE26" i="7"/>
  <c r="AG21" i="7"/>
  <c r="AG20" i="7"/>
  <c r="AF17" i="7"/>
  <c r="AG17" i="7" s="1"/>
  <c r="AF18" i="7"/>
  <c r="AG18" i="7"/>
  <c r="AG16" i="7"/>
  <c r="AF16" i="7"/>
  <c r="AE17" i="7"/>
  <c r="AE18" i="7"/>
  <c r="AE16" i="7"/>
  <c r="AB15" i="7"/>
  <c r="AC13" i="1"/>
  <c r="AC9" i="1"/>
  <c r="W28" i="7"/>
  <c r="T29" i="7"/>
  <c r="T30" i="7"/>
  <c r="T28" i="7"/>
  <c r="S14" i="7"/>
  <c r="O14" i="7"/>
  <c r="Q14" i="7"/>
  <c r="Q8" i="7"/>
  <c r="O8" i="7"/>
  <c r="Q7" i="7"/>
  <c r="Q9" i="7"/>
  <c r="O9" i="7"/>
  <c r="O7" i="7"/>
  <c r="K25" i="7"/>
  <c r="K26" i="7"/>
  <c r="K27" i="7"/>
  <c r="K28" i="7"/>
  <c r="K29" i="7"/>
  <c r="K30" i="7"/>
  <c r="K31" i="7"/>
  <c r="K32" i="7"/>
  <c r="K33" i="7"/>
  <c r="K34" i="7"/>
  <c r="K35" i="7"/>
  <c r="K36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7" i="7"/>
  <c r="H28" i="7"/>
  <c r="H29" i="7"/>
  <c r="H30" i="7"/>
  <c r="H31" i="7"/>
  <c r="H32" i="7"/>
  <c r="H33" i="7"/>
  <c r="H34" i="7"/>
  <c r="H35" i="7"/>
  <c r="H36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7" i="7"/>
  <c r="AD4" i="1" l="1" a="1"/>
  <c r="AM13" i="1" s="1"/>
  <c r="Y72" i="1" a="1"/>
  <c r="Y72" i="1" s="1"/>
  <c r="BW13" i="1"/>
  <c r="AR13" i="1"/>
  <c r="AY9" i="1"/>
  <c r="AW13" i="1"/>
  <c r="AZ9" i="1"/>
  <c r="AH13" i="1"/>
  <c r="CD13" i="1"/>
  <c r="CG9" i="1"/>
  <c r="AD5" i="1" a="1"/>
  <c r="AD6" i="1" a="1"/>
  <c r="AD6" i="1" s="1"/>
  <c r="AD10" i="1" s="1"/>
  <c r="BA9" i="1" l="1"/>
  <c r="BJ13" i="1"/>
  <c r="BH9" i="1"/>
  <c r="BU13" i="1"/>
  <c r="CE9" i="1"/>
  <c r="BT13" i="1"/>
  <c r="BN9" i="1"/>
  <c r="AI13" i="1"/>
  <c r="BM9" i="1"/>
  <c r="BZ13" i="1"/>
  <c r="CF9" i="1"/>
  <c r="CK13" i="1"/>
  <c r="AG13" i="1"/>
  <c r="AQ9" i="1"/>
  <c r="AF13" i="1"/>
  <c r="AY13" i="1"/>
  <c r="CK9" i="1"/>
  <c r="AW9" i="1"/>
  <c r="AT13" i="1"/>
  <c r="BD9" i="1"/>
  <c r="BM13" i="1"/>
  <c r="BG9" i="1"/>
  <c r="BL13" i="1"/>
  <c r="BF9" i="1"/>
  <c r="BU9" i="1"/>
  <c r="AG9" i="1"/>
  <c r="BF13" i="1"/>
  <c r="BX9" i="1"/>
  <c r="AJ9" i="1"/>
  <c r="BA13" i="1"/>
  <c r="BW9" i="1"/>
  <c r="AE9" i="1"/>
  <c r="AN13" i="1"/>
  <c r="AL9" i="1"/>
  <c r="BQ9" i="1"/>
  <c r="AO9" i="1"/>
  <c r="BN13" i="1"/>
  <c r="AP13" i="1"/>
  <c r="BT9" i="1"/>
  <c r="AN9" i="1"/>
  <c r="BQ13" i="1"/>
  <c r="AO13" i="1"/>
  <c r="BK9" i="1"/>
  <c r="AI9" i="1"/>
  <c r="BH13" i="1"/>
  <c r="CD9" i="1"/>
  <c r="CA13" i="1"/>
  <c r="AE13" i="1"/>
  <c r="CC9" i="1"/>
  <c r="BE9" i="1"/>
  <c r="AK9" i="1"/>
  <c r="BV13" i="1"/>
  <c r="AX13" i="1"/>
  <c r="CJ9" i="1"/>
  <c r="BP9" i="1"/>
  <c r="AR9" i="1"/>
  <c r="CC13" i="1"/>
  <c r="BE13" i="1"/>
  <c r="AK13" i="1"/>
  <c r="BO9" i="1"/>
  <c r="AU9" i="1"/>
  <c r="CJ13" i="1"/>
  <c r="AV13" i="1"/>
  <c r="CH9" i="1"/>
  <c r="AP9" i="1"/>
  <c r="BG13" i="1"/>
  <c r="CB13" i="1"/>
  <c r="BV9" i="1"/>
  <c r="BB9" i="1"/>
  <c r="AH9" i="1"/>
  <c r="BO13" i="1"/>
  <c r="AU13" i="1"/>
  <c r="AD4" i="1"/>
  <c r="CG13" i="1"/>
  <c r="CA9" i="1"/>
  <c r="BX13" i="1"/>
  <c r="BD13" i="1"/>
  <c r="BR9" i="1"/>
  <c r="AX9" i="1"/>
  <c r="CE13" i="1"/>
  <c r="BK13" i="1"/>
  <c r="AQ13" i="1"/>
  <c r="BY9" i="1"/>
  <c r="BI9" i="1"/>
  <c r="AS9" i="1"/>
  <c r="CH13" i="1"/>
  <c r="BR13" i="1"/>
  <c r="BB13" i="1"/>
  <c r="AL13" i="1"/>
  <c r="CB9" i="1"/>
  <c r="BL9" i="1"/>
  <c r="AV9" i="1"/>
  <c r="AF9" i="1"/>
  <c r="BY13" i="1"/>
  <c r="BI13" i="1"/>
  <c r="AS13" i="1"/>
  <c r="CI9" i="1"/>
  <c r="BS9" i="1"/>
  <c r="BC9" i="1"/>
  <c r="AM9" i="1"/>
  <c r="CF13" i="1"/>
  <c r="BP13" i="1"/>
  <c r="AZ13" i="1"/>
  <c r="AJ13" i="1"/>
  <c r="BZ9" i="1"/>
  <c r="BJ9" i="1"/>
  <c r="AT9" i="1"/>
  <c r="CI13" i="1"/>
  <c r="BS13" i="1"/>
  <c r="BC13" i="1"/>
  <c r="AD5" i="1"/>
  <c r="CK14" i="1"/>
  <c r="CJ14" i="1" s="1"/>
  <c r="CI14" i="1" s="1"/>
  <c r="CH14" i="1" s="1"/>
  <c r="CG14" i="1" s="1"/>
  <c r="CF14" i="1" s="1"/>
  <c r="CE14" i="1" s="1"/>
  <c r="CD14" i="1" s="1"/>
  <c r="CC14" i="1" s="1"/>
  <c r="CB14" i="1" s="1"/>
  <c r="CA14" i="1" s="1"/>
  <c r="BZ14" i="1" s="1"/>
  <c r="BY14" i="1" s="1"/>
  <c r="BX14" i="1" s="1"/>
  <c r="BW14" i="1" s="1"/>
  <c r="BV14" i="1" s="1"/>
  <c r="BU14" i="1" s="1"/>
  <c r="BT14" i="1" s="1"/>
  <c r="BS14" i="1" s="1"/>
  <c r="BR14" i="1" s="1"/>
  <c r="BQ14" i="1" s="1"/>
  <c r="BP14" i="1" s="1"/>
  <c r="BO14" i="1" s="1"/>
  <c r="BN14" i="1" s="1"/>
  <c r="BM14" i="1" s="1"/>
  <c r="BL14" i="1" s="1"/>
  <c r="BK14" i="1" s="1"/>
  <c r="BJ14" i="1" s="1"/>
  <c r="BI14" i="1" s="1"/>
  <c r="BH14" i="1" s="1"/>
  <c r="BG14" i="1" s="1"/>
  <c r="BF14" i="1" s="1"/>
  <c r="BE14" i="1" s="1"/>
  <c r="BD14" i="1" s="1"/>
  <c r="BC14" i="1" s="1"/>
  <c r="BB14" i="1" s="1"/>
  <c r="BA14" i="1" s="1"/>
  <c r="AZ14" i="1" s="1"/>
  <c r="AY14" i="1" s="1"/>
  <c r="AX14" i="1" s="1"/>
  <c r="AW14" i="1" s="1"/>
  <c r="AV14" i="1" s="1"/>
  <c r="AU14" i="1" s="1"/>
  <c r="AT14" i="1" s="1"/>
  <c r="AS14" i="1" s="1"/>
  <c r="AR14" i="1" s="1"/>
  <c r="AQ14" i="1" s="1"/>
  <c r="AP14" i="1" s="1"/>
  <c r="AO14" i="1" s="1"/>
  <c r="AN14" i="1" s="1"/>
  <c r="AM14" i="1" s="1"/>
  <c r="AL14" i="1" s="1"/>
  <c r="AK14" i="1" s="1"/>
  <c r="AJ14" i="1" s="1"/>
  <c r="AI14" i="1" s="1"/>
  <c r="AH14" i="1" s="1"/>
  <c r="AG14" i="1" s="1"/>
  <c r="AF14" i="1" s="1"/>
  <c r="AE14" i="1" s="1"/>
  <c r="AE10" i="1"/>
  <c r="AF10" i="1" s="1"/>
  <c r="AD9" i="1"/>
  <c r="AD13" i="1"/>
  <c r="AD14" i="1" l="1"/>
  <c r="AD17" i="1" s="1"/>
  <c r="AF17" i="1"/>
  <c r="AE17" i="1"/>
  <c r="AG10" i="1"/>
  <c r="AH10" i="1" s="1"/>
  <c r="AG17" i="1" l="1"/>
  <c r="AI10" i="1"/>
  <c r="AH17" i="1"/>
  <c r="AJ10" i="1" l="1"/>
  <c r="AI17" i="1"/>
  <c r="AK10" i="1" l="1"/>
  <c r="AJ17" i="1"/>
  <c r="AL10" i="1" l="1"/>
  <c r="AK17" i="1"/>
  <c r="AM10" i="1" l="1"/>
  <c r="AL17" i="1"/>
  <c r="AN10" i="1" l="1"/>
  <c r="AM17" i="1"/>
  <c r="AO10" i="1" l="1"/>
  <c r="AN17" i="1"/>
  <c r="AP10" i="1" l="1"/>
  <c r="AO17" i="1"/>
  <c r="AQ10" i="1" l="1"/>
  <c r="AP17" i="1"/>
  <c r="AR10" i="1" l="1"/>
  <c r="AQ17" i="1"/>
  <c r="AS10" i="1" l="1"/>
  <c r="AR17" i="1"/>
  <c r="AT10" i="1" l="1"/>
  <c r="AS17" i="1"/>
  <c r="AU10" i="1" l="1"/>
  <c r="AT17" i="1"/>
  <c r="AV10" i="1" l="1"/>
  <c r="AU17" i="1"/>
  <c r="AW10" i="1" l="1"/>
  <c r="AV17" i="1"/>
  <c r="AX10" i="1" l="1"/>
  <c r="AW17" i="1"/>
  <c r="AY10" i="1" l="1"/>
  <c r="AX17" i="1"/>
  <c r="AZ10" i="1" l="1"/>
  <c r="AY17" i="1"/>
  <c r="BA10" i="1" l="1"/>
  <c r="AZ17" i="1"/>
  <c r="BB10" i="1" l="1"/>
  <c r="BA17" i="1"/>
  <c r="BC10" i="1" l="1"/>
  <c r="BB17" i="1"/>
  <c r="BD10" i="1" l="1"/>
  <c r="BC17" i="1"/>
  <c r="BE10" i="1" l="1"/>
  <c r="BD17" i="1"/>
  <c r="BF10" i="1" l="1"/>
  <c r="BE17" i="1"/>
  <c r="BG10" i="1" l="1"/>
  <c r="BF17" i="1"/>
  <c r="BH10" i="1" l="1"/>
  <c r="BG17" i="1"/>
  <c r="BI10" i="1" l="1"/>
  <c r="BH17" i="1"/>
  <c r="BJ10" i="1" l="1"/>
  <c r="BI17" i="1"/>
  <c r="BK10" i="1" l="1"/>
  <c r="BJ17" i="1"/>
  <c r="BL10" i="1" l="1"/>
  <c r="BK17" i="1"/>
  <c r="BM10" i="1" l="1"/>
  <c r="BL17" i="1"/>
  <c r="BN10" i="1" l="1"/>
  <c r="BM17" i="1"/>
  <c r="BO10" i="1" l="1"/>
  <c r="BN17" i="1"/>
  <c r="BP10" i="1" l="1"/>
  <c r="BO17" i="1"/>
  <c r="BQ10" i="1" l="1"/>
  <c r="BP17" i="1"/>
  <c r="BR10" i="1" l="1"/>
  <c r="BQ17" i="1"/>
  <c r="BS10" i="1" l="1"/>
  <c r="BR17" i="1"/>
  <c r="BT10" i="1" l="1"/>
  <c r="BS17" i="1"/>
  <c r="BU10" i="1" l="1"/>
  <c r="BT17" i="1"/>
  <c r="BV10" i="1" l="1"/>
  <c r="BU17" i="1"/>
  <c r="BW10" i="1" l="1"/>
  <c r="BV17" i="1"/>
  <c r="BX10" i="1" l="1"/>
  <c r="BW17" i="1"/>
  <c r="BY10" i="1" l="1"/>
  <c r="BX17" i="1"/>
  <c r="BZ10" i="1" l="1"/>
  <c r="BY17" i="1"/>
  <c r="CA10" i="1" l="1"/>
  <c r="BZ17" i="1"/>
  <c r="CB10" i="1" l="1"/>
  <c r="CA17" i="1"/>
  <c r="CC10" i="1" l="1"/>
  <c r="CB17" i="1"/>
  <c r="CD10" i="1" l="1"/>
  <c r="CC17" i="1"/>
  <c r="CE10" i="1" l="1"/>
  <c r="CD17" i="1"/>
  <c r="CF10" i="1" l="1"/>
  <c r="CE17" i="1"/>
  <c r="CG10" i="1" l="1"/>
  <c r="CF17" i="1"/>
  <c r="CH10" i="1" l="1"/>
  <c r="CG17" i="1"/>
  <c r="CI10" i="1" l="1"/>
  <c r="CH17" i="1"/>
  <c r="CJ10" i="1" l="1"/>
  <c r="CI17" i="1"/>
  <c r="CK10" i="1" l="1"/>
  <c r="CK17" i="1" s="1"/>
  <c r="CJ1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74F517-D039-48CA-91B4-012EEE228898}" keepAlive="1" name="Query - 0" description="Connection to the '0' query in the workbook." type="5" refreshedVersion="0" background="1">
    <dbPr connection="Provider=Microsoft.Mashup.OleDb.1;Data Source=$Workbook$;Location=0;Extended Properties=&quot;&quot;" command="SELECT * FROM [0]"/>
  </connection>
  <connection id="2" xr16:uid="{6981044F-B66C-4A8E-8AEC-336FAC0D37A2}" keepAlive="1" name="Query - 0 (2)" description="Connection to the '0 (2)' query in the workbook." type="5" refreshedVersion="0" background="1">
    <dbPr connection="Provider=Microsoft.Mashup.OleDb.1;Data Source=$Workbook$;Location=&quot;0 (2)&quot;;Extended Properties=&quot;&quot;" command="SELECT * FROM [0 (2)]"/>
  </connection>
  <connection id="3" xr16:uid="{6F6E207C-E9C2-4A92-8649-1A90140C5F9E}" keepAlive="1" name="Query - 1" description="Connection to the '1' query in the workbook." type="5" refreshedVersion="0" background="1">
    <dbPr connection="Provider=Microsoft.Mashup.OleDb.1;Data Source=$Workbook$;Location=1;Extended Properties=&quot;&quot;" command="SELECT * FROM [1]"/>
  </connection>
  <connection id="4" xr16:uid="{74B73034-A88D-4463-8779-8AC2ED9647BB}" keepAlive="1" name="Query - 2" description="Connection to the '2' query in the workbook." type="5" refreshedVersion="0" background="1">
    <dbPr connection="Provider=Microsoft.Mashup.OleDb.1;Data Source=$Workbook$;Location=2;Extended Properties=&quot;&quot;" command="SELECT * FROM [2]"/>
  </connection>
  <connection id="5" xr16:uid="{E27404D2-F04B-4CA8-A8C3-D7EA1674B9D6}" keepAlive="1" name="Query - Table5" description="Connection to the 'Table5' query in the workbook." type="5" refreshedVersion="0" background="1">
    <dbPr connection="Provider=Microsoft.Mashup.OleDb.1;Data Source=$Workbook$;Location=Table5;Extended Properties=&quot;&quot;" command="SELECT * FROM [Table5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<sst xmlns="http://schemas.openxmlformats.org/spreadsheetml/2006/main" count="226" uniqueCount="146">
  <si>
    <t>Party 0</t>
  </si>
  <si>
    <t>BTC</t>
  </si>
  <si>
    <t>Party 1</t>
  </si>
  <si>
    <t>Party 2</t>
  </si>
  <si>
    <t>Inputs</t>
  </si>
  <si>
    <t xml:space="preserve"> </t>
  </si>
  <si>
    <t>For BTC</t>
  </si>
  <si>
    <t>bid_p</t>
  </si>
  <si>
    <t>bid_q</t>
  </si>
  <si>
    <t>ask_p</t>
  </si>
  <si>
    <t>ask_q</t>
  </si>
  <si>
    <t>Rank Matrix For BTC (secret matrix)</t>
  </si>
  <si>
    <t>.sort()</t>
  </si>
  <si>
    <t>Supply and demand curves</t>
  </si>
  <si>
    <t>price</t>
  </si>
  <si>
    <t>supply</t>
  </si>
  <si>
    <t>demand</t>
  </si>
  <si>
    <t>left to right (asking quantity)</t>
  </si>
  <si>
    <t>right to left (bidding quantity)</t>
  </si>
  <si>
    <t>vol at price</t>
  </si>
  <si>
    <t>Ignore p=0</t>
  </si>
  <si>
    <t>Iterate through the vol at price to find the maximum volume</t>
  </si>
  <si>
    <t>At the same time you update two variables</t>
  </si>
  <si>
    <t>best_p_low updates if the vol is strictly greater than the previous</t>
  </si>
  <si>
    <t>best_p_high updates if the vol is greater OR equal to the previous</t>
  </si>
  <si>
    <t>best_p_high</t>
  </si>
  <si>
    <t>best_p_low</t>
  </si>
  <si>
    <t>Actual arrays we build</t>
  </si>
  <si>
    <t>Clearing price</t>
  </si>
  <si>
    <t>(revealed)</t>
  </si>
  <si>
    <t>bids &gt;= clearing price</t>
  </si>
  <si>
    <t>asks &lt;= clearing price</t>
  </si>
  <si>
    <t>NOTE: Asks have the additional clause so asks of 0 don't count</t>
  </si>
  <si>
    <t>Find eligible bids ans asks (mask)</t>
  </si>
  <si>
    <t>eligible bids</t>
  </si>
  <si>
    <t>eligible asks</t>
  </si>
  <si>
    <t>Group the eligible bids and asks of each party</t>
  </si>
  <si>
    <t>party0</t>
  </si>
  <si>
    <t>party1</t>
  </si>
  <si>
    <t>party2</t>
  </si>
  <si>
    <t>bids</t>
  </si>
  <si>
    <t>ask</t>
  </si>
  <si>
    <t>Vol_max</t>
  </si>
  <si>
    <t>party_bid_qty</t>
  </si>
  <si>
    <t>party_ask_qty</t>
  </si>
  <si>
    <t>sum</t>
  </si>
  <si>
    <t>Seeing what side is rationed</t>
  </si>
  <si>
    <t>total_bid_qty</t>
  </si>
  <si>
    <t>total_ask_qty</t>
  </si>
  <si>
    <t>&gt;</t>
  </si>
  <si>
    <t xml:space="preserve"> =&gt;</t>
  </si>
  <si>
    <t>bool</t>
  </si>
  <si>
    <t>Rationed party is the one who has the biggest quantity and therefore what they sell/buy needs to be rationed</t>
  </si>
  <si>
    <t>Rationed party quantity is givel by:</t>
  </si>
  <si>
    <t>Where:</t>
  </si>
  <si>
    <t>rationed_party_qty = party_bid_qty if bool=1</t>
  </si>
  <si>
    <t>rationed_party_qty = party_ask_qty if bool=0</t>
  </si>
  <si>
    <t>rationed_party_qty</t>
  </si>
  <si>
    <t>rationed_total_s</t>
  </si>
  <si>
    <t>1 if bids &gt; asks</t>
  </si>
  <si>
    <t>0 if bids &lt;= asks</t>
  </si>
  <si>
    <t>=</t>
  </si>
  <si>
    <t>bool * party_bid_qty +</t>
  </si>
  <si>
    <t>(1-bool) * party_ask_qty</t>
  </si>
  <si>
    <t>We reveal this sum so we can do</t>
  </si>
  <si>
    <t>ratio (V*/sum)</t>
  </si>
  <si>
    <t>shifted</t>
  </si>
  <si>
    <t>party_fills (float)</t>
  </si>
  <si>
    <t>party_fills (int)</t>
  </si>
  <si>
    <t>unallocated</t>
  </si>
  <si>
    <t>Pro-rata fills</t>
  </si>
  <si>
    <t>current fill</t>
  </si>
  <si>
    <t>Residual allocation</t>
  </si>
  <si>
    <t>wants_more</t>
  </si>
  <si>
    <t>residual vailable</t>
  </si>
  <si>
    <t>has_residuals</t>
  </si>
  <si>
    <t>gets_unit</t>
  </si>
  <si>
    <t>Iterates through each party, if they want more volume and the are residual available give them 1</t>
  </si>
  <si>
    <t>The max residual is #parties-1 (so in this case 2)</t>
  </si>
  <si>
    <t>auction_baseline</t>
  </si>
  <si>
    <t>mascot</t>
  </si>
  <si>
    <t>shamir</t>
  </si>
  <si>
    <t>ring</t>
  </si>
  <si>
    <t>semi</t>
  </si>
  <si>
    <t>Data sent (MB)</t>
  </si>
  <si>
    <t>Wall-clock time (s)</t>
  </si>
  <si>
    <t>Global Data Sent (MB)</t>
  </si>
  <si>
    <t>(basically data sent *3)</t>
  </si>
  <si>
    <t>Avg Rounds</t>
  </si>
  <si>
    <t>P0 Rounds</t>
  </si>
  <si>
    <t>P1 Rounds</t>
  </si>
  <si>
    <t>P2 Rounds</t>
  </si>
  <si>
    <t xml:space="preserve">     6475443 integer bits</t>
  </si>
  <si>
    <t xml:space="preserve">       61698 integer opens</t>
  </si>
  <si>
    <t xml:space="preserve">     7426131 integer triples</t>
  </si>
  <si>
    <t xml:space="preserve">     7426131 integer simple multiplications</t>
  </si>
  <si>
    <t xml:space="preserve">        4447 virtual machine rounds</t>
  </si>
  <si>
    <t>BASELINE</t>
  </si>
  <si>
    <t>OPT1</t>
  </si>
  <si>
    <t xml:space="preserve">     1807623 integer bits</t>
  </si>
  <si>
    <t xml:space="preserve">       40278 integer opens</t>
  </si>
  <si>
    <t xml:space="preserve">     3374631 integer triples</t>
  </si>
  <si>
    <t xml:space="preserve">     2141991 integer simple multiplications</t>
  </si>
  <si>
    <t xml:space="preserve">         inf bit inverses</t>
  </si>
  <si>
    <t xml:space="preserve">         384 integer shuffle generations</t>
  </si>
  <si>
    <t xml:space="preserve">         768 integer shuffle applications</t>
  </si>
  <si>
    <t xml:space="preserve">        3126 virtual machine rounds</t>
  </si>
  <si>
    <t>oblv sort</t>
  </si>
  <si>
    <t>edabits</t>
  </si>
  <si>
    <t>oblv sot + delta accum</t>
  </si>
  <si>
    <t>OPT4</t>
  </si>
  <si>
    <t xml:space="preserve">     6486891 integer bits</t>
  </si>
  <si>
    <t xml:space="preserve">       61806 integer opens</t>
  </si>
  <si>
    <t xml:space="preserve">     7470255 integer triples</t>
  </si>
  <si>
    <t xml:space="preserve">     7470255 integer simple multiplications</t>
  </si>
  <si>
    <t xml:space="preserve">        2541 virtual machine rounds</t>
  </si>
  <si>
    <t>All improvements</t>
  </si>
  <si>
    <t>Reducing reveals</t>
  </si>
  <si>
    <t>ALLOPT</t>
  </si>
  <si>
    <t xml:space="preserve">         192 strict edabits of length 40</t>
  </si>
  <si>
    <t xml:space="preserve">        1194 strict edabits of length 64</t>
  </si>
  <si>
    <t xml:space="preserve">       24366 integer opens</t>
  </si>
  <si>
    <t xml:space="preserve">      163071 bit triples</t>
  </si>
  <si>
    <t xml:space="preserve">       12651 integer dabits</t>
  </si>
  <si>
    <t xml:space="preserve">        4248 bit opens</t>
  </si>
  <si>
    <t xml:space="preserve">        1020 strict edabits of length 41</t>
  </si>
  <si>
    <t xml:space="preserve">     3764514 integer triples</t>
  </si>
  <si>
    <t xml:space="preserve">       24354 integer simple multiplications</t>
  </si>
  <si>
    <t>OPT2</t>
  </si>
  <si>
    <t xml:space="preserve">       61671 strict edabits of length 41</t>
  </si>
  <si>
    <t xml:space="preserve">       61671 strict edabits of length 64</t>
  </si>
  <si>
    <t xml:space="preserve">     7400754 bit triples</t>
  </si>
  <si>
    <t xml:space="preserve">       61680 integer dabits</t>
  </si>
  <si>
    <t xml:space="preserve">        9528 bit opens</t>
  </si>
  <si>
    <t xml:space="preserve">       62337 integer triples</t>
  </si>
  <si>
    <t xml:space="preserve">       62337 integer simple multiplications</t>
  </si>
  <si>
    <t xml:space="preserve">           9 strict edabits of length 56</t>
  </si>
  <si>
    <t xml:space="preserve">           9 strict edabits of length 16</t>
  </si>
  <si>
    <t xml:space="preserve">        2754 virtual machine rounds</t>
  </si>
  <si>
    <t>OPT1+3</t>
  </si>
  <si>
    <t xml:space="preserve">      125523 integer bits</t>
  </si>
  <si>
    <t xml:space="preserve">       24258 integer opens</t>
  </si>
  <si>
    <t xml:space="preserve">     3943731 integer triples</t>
  </si>
  <si>
    <t xml:space="preserve">      203571 integer simple multiplications</t>
  </si>
  <si>
    <t xml:space="preserve">         192 integer shuffle applications</t>
  </si>
  <si>
    <t xml:space="preserve">        2997 virtual machine rounds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</si>
</sst>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7030A0"/>
      <name val="Aptos Narrow"/>
      <family val="2"/>
      <scheme val="minor"/>
    </font>
    <font>
      <sz val="12"/>
      <color rgb="FF0070C0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2" borderId="0" xfId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1" fillId="2" borderId="0" xfId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2" fillId="3" borderId="0" xfId="2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21" Type="http://schemas.openxmlformats.org/officeDocument/2006/relationships/customXml" Target="../ink/ink11.xml"/><Relationship Id="rId42" Type="http://schemas.openxmlformats.org/officeDocument/2006/relationships/image" Target="../media/image21.png"/><Relationship Id="rId47" Type="http://schemas.openxmlformats.org/officeDocument/2006/relationships/customXml" Target="../ink/ink24.xml"/><Relationship Id="rId63" Type="http://schemas.openxmlformats.org/officeDocument/2006/relationships/customXml" Target="../ink/ink32.xml"/><Relationship Id="rId68" Type="http://schemas.openxmlformats.org/officeDocument/2006/relationships/image" Target="../media/image34.png"/><Relationship Id="rId16" Type="http://schemas.openxmlformats.org/officeDocument/2006/relationships/image" Target="../media/image8.png"/><Relationship Id="rId11" Type="http://schemas.openxmlformats.org/officeDocument/2006/relationships/customXml" Target="../ink/ink6.xm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customXml" Target="../ink/ink19.xml"/><Relationship Id="rId40" Type="http://schemas.openxmlformats.org/officeDocument/2006/relationships/image" Target="../media/image20.png"/><Relationship Id="rId45" Type="http://schemas.openxmlformats.org/officeDocument/2006/relationships/customXml" Target="../ink/ink23.xml"/><Relationship Id="rId53" Type="http://schemas.openxmlformats.org/officeDocument/2006/relationships/customXml" Target="../ink/ink27.xml"/><Relationship Id="rId58" Type="http://schemas.openxmlformats.org/officeDocument/2006/relationships/image" Target="../media/image29.png"/><Relationship Id="rId66" Type="http://schemas.openxmlformats.org/officeDocument/2006/relationships/image" Target="../media/image33.png"/><Relationship Id="rId74" Type="http://schemas.openxmlformats.org/officeDocument/2006/relationships/image" Target="../media/image37.png"/><Relationship Id="rId5" Type="http://schemas.openxmlformats.org/officeDocument/2006/relationships/customXml" Target="../ink/ink3.xml"/><Relationship Id="rId61" Type="http://schemas.openxmlformats.org/officeDocument/2006/relationships/customXml" Target="../ink/ink31.xml"/><Relationship Id="rId19" Type="http://schemas.openxmlformats.org/officeDocument/2006/relationships/customXml" Target="../ink/ink10.xm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customXml" Target="../ink/ink14.xml"/><Relationship Id="rId30" Type="http://schemas.openxmlformats.org/officeDocument/2006/relationships/image" Target="../media/image15.png"/><Relationship Id="rId35" Type="http://schemas.openxmlformats.org/officeDocument/2006/relationships/customXml" Target="../ink/ink18.xml"/><Relationship Id="rId43" Type="http://schemas.openxmlformats.org/officeDocument/2006/relationships/customXml" Target="../ink/ink22.xm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64" Type="http://schemas.openxmlformats.org/officeDocument/2006/relationships/image" Target="../media/image32.png"/><Relationship Id="rId69" Type="http://schemas.openxmlformats.org/officeDocument/2006/relationships/customXml" Target="../ink/ink35.xml"/><Relationship Id="rId77" Type="http://schemas.openxmlformats.org/officeDocument/2006/relationships/customXml" Target="../ink/ink39.xml"/><Relationship Id="rId8" Type="http://schemas.openxmlformats.org/officeDocument/2006/relationships/image" Target="../media/image4.png"/><Relationship Id="rId51" Type="http://schemas.openxmlformats.org/officeDocument/2006/relationships/customXml" Target="../ink/ink26.xml"/><Relationship Id="rId72" Type="http://schemas.openxmlformats.org/officeDocument/2006/relationships/image" Target="../media/image36.png"/><Relationship Id="rId3" Type="http://schemas.openxmlformats.org/officeDocument/2006/relationships/customXml" Target="../ink/ink2.xml"/><Relationship Id="rId12" Type="http://schemas.openxmlformats.org/officeDocument/2006/relationships/image" Target="../media/image6.png"/><Relationship Id="rId17" Type="http://schemas.openxmlformats.org/officeDocument/2006/relationships/customXml" Target="../ink/ink9.xml"/><Relationship Id="rId25" Type="http://schemas.openxmlformats.org/officeDocument/2006/relationships/customXml" Target="../ink/ink13.xml"/><Relationship Id="rId33" Type="http://schemas.openxmlformats.org/officeDocument/2006/relationships/customXml" Target="../ink/ink17.xm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59" Type="http://schemas.openxmlformats.org/officeDocument/2006/relationships/customXml" Target="../ink/ink30.xml"/><Relationship Id="rId67" Type="http://schemas.openxmlformats.org/officeDocument/2006/relationships/customXml" Target="../ink/ink34.xml"/><Relationship Id="rId20" Type="http://schemas.openxmlformats.org/officeDocument/2006/relationships/image" Target="../media/image10.png"/><Relationship Id="rId41" Type="http://schemas.openxmlformats.org/officeDocument/2006/relationships/customXml" Target="../ink/ink21.xml"/><Relationship Id="rId54" Type="http://schemas.openxmlformats.org/officeDocument/2006/relationships/image" Target="../media/image27.png"/><Relationship Id="rId62" Type="http://schemas.openxmlformats.org/officeDocument/2006/relationships/image" Target="../media/image31.png"/><Relationship Id="rId70" Type="http://schemas.openxmlformats.org/officeDocument/2006/relationships/image" Target="../media/image35.png"/><Relationship Id="rId75" Type="http://schemas.openxmlformats.org/officeDocument/2006/relationships/customXml" Target="../ink/ink38.xml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5" Type="http://schemas.openxmlformats.org/officeDocument/2006/relationships/customXml" Target="../ink/ink8.xml"/><Relationship Id="rId23" Type="http://schemas.openxmlformats.org/officeDocument/2006/relationships/customXml" Target="../ink/ink12.xm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customXml" Target="../ink/ink25.xml"/><Relationship Id="rId57" Type="http://schemas.openxmlformats.org/officeDocument/2006/relationships/customXml" Target="../ink/ink29.xml"/><Relationship Id="rId10" Type="http://schemas.openxmlformats.org/officeDocument/2006/relationships/image" Target="../media/image5.png"/><Relationship Id="rId31" Type="http://schemas.openxmlformats.org/officeDocument/2006/relationships/customXml" Target="../ink/ink16.xm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65" Type="http://schemas.openxmlformats.org/officeDocument/2006/relationships/customXml" Target="../ink/ink33.xml"/><Relationship Id="rId73" Type="http://schemas.openxmlformats.org/officeDocument/2006/relationships/customXml" Target="../ink/ink37.xml"/><Relationship Id="rId78" Type="http://schemas.openxmlformats.org/officeDocument/2006/relationships/image" Target="../media/image39.png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3" Type="http://schemas.openxmlformats.org/officeDocument/2006/relationships/customXml" Target="../ink/ink7.xml"/><Relationship Id="rId18" Type="http://schemas.openxmlformats.org/officeDocument/2006/relationships/image" Target="../media/image9.png"/><Relationship Id="rId39" Type="http://schemas.openxmlformats.org/officeDocument/2006/relationships/customXml" Target="../ink/ink20.xm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customXml" Target="../ink/ink28.xml"/><Relationship Id="rId76" Type="http://schemas.openxmlformats.org/officeDocument/2006/relationships/image" Target="../media/image38.png"/><Relationship Id="rId7" Type="http://schemas.openxmlformats.org/officeDocument/2006/relationships/customXml" Target="../ink/ink4.xml"/><Relationship Id="rId71" Type="http://schemas.openxmlformats.org/officeDocument/2006/relationships/customXml" Target="../ink/ink36.xml"/><Relationship Id="rId2" Type="http://schemas.openxmlformats.org/officeDocument/2006/relationships/image" Target="../media/image1.png"/><Relationship Id="rId29" Type="http://schemas.openxmlformats.org/officeDocument/2006/relationships/customXml" Target="../ink/ink15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46.png"/><Relationship Id="rId18" Type="http://schemas.openxmlformats.org/officeDocument/2006/relationships/customXml" Target="../ink/ink48.xml"/><Relationship Id="rId26" Type="http://schemas.openxmlformats.org/officeDocument/2006/relationships/customXml" Target="../ink/ink52.xml"/><Relationship Id="rId39" Type="http://schemas.openxmlformats.org/officeDocument/2006/relationships/image" Target="../media/image59.png"/><Relationship Id="rId21" Type="http://schemas.openxmlformats.org/officeDocument/2006/relationships/image" Target="../media/image50.png"/><Relationship Id="rId34" Type="http://schemas.openxmlformats.org/officeDocument/2006/relationships/customXml" Target="../ink/ink56.xml"/><Relationship Id="rId42" Type="http://schemas.openxmlformats.org/officeDocument/2006/relationships/customXml" Target="../ink/ink60.xml"/><Relationship Id="rId47" Type="http://schemas.openxmlformats.org/officeDocument/2006/relationships/image" Target="../media/image63.png"/><Relationship Id="rId50" Type="http://schemas.openxmlformats.org/officeDocument/2006/relationships/customXml" Target="../ink/ink64.xml"/><Relationship Id="rId55" Type="http://schemas.openxmlformats.org/officeDocument/2006/relationships/image" Target="../media/image67.png"/><Relationship Id="rId7" Type="http://schemas.openxmlformats.org/officeDocument/2006/relationships/customXml" Target="../ink/ink43.xml"/><Relationship Id="rId2" Type="http://schemas.openxmlformats.org/officeDocument/2006/relationships/image" Target="../media/image40.png"/><Relationship Id="rId16" Type="http://schemas.openxmlformats.org/officeDocument/2006/relationships/customXml" Target="../ink/ink47.xml"/><Relationship Id="rId29" Type="http://schemas.openxmlformats.org/officeDocument/2006/relationships/image" Target="../media/image54.png"/><Relationship Id="rId11" Type="http://schemas.openxmlformats.org/officeDocument/2006/relationships/customXml" Target="../ink/ink45.xml"/><Relationship Id="rId24" Type="http://schemas.openxmlformats.org/officeDocument/2006/relationships/customXml" Target="../ink/ink51.xml"/><Relationship Id="rId32" Type="http://schemas.openxmlformats.org/officeDocument/2006/relationships/customXml" Target="../ink/ink55.xml"/><Relationship Id="rId37" Type="http://schemas.openxmlformats.org/officeDocument/2006/relationships/image" Target="../media/image58.png"/><Relationship Id="rId40" Type="http://schemas.openxmlformats.org/officeDocument/2006/relationships/customXml" Target="../ink/ink59.xml"/><Relationship Id="rId45" Type="http://schemas.openxmlformats.org/officeDocument/2006/relationships/image" Target="../media/image62.png"/><Relationship Id="rId53" Type="http://schemas.openxmlformats.org/officeDocument/2006/relationships/image" Target="../media/image66.png"/><Relationship Id="rId58" Type="http://schemas.openxmlformats.org/officeDocument/2006/relationships/customXml" Target="../ink/ink68.xml"/><Relationship Id="rId5" Type="http://schemas.openxmlformats.org/officeDocument/2006/relationships/customXml" Target="../ink/ink42.xml"/><Relationship Id="rId19" Type="http://schemas.openxmlformats.org/officeDocument/2006/relationships/image" Target="../media/image49.png"/><Relationship Id="rId4" Type="http://schemas.openxmlformats.org/officeDocument/2006/relationships/image" Target="../media/image41.png"/><Relationship Id="rId9" Type="http://schemas.openxmlformats.org/officeDocument/2006/relationships/customXml" Target="../ink/ink44.xml"/><Relationship Id="rId14" Type="http://schemas.openxmlformats.org/officeDocument/2006/relationships/customXml" Target="../ink/ink46.xml"/><Relationship Id="rId22" Type="http://schemas.openxmlformats.org/officeDocument/2006/relationships/customXml" Target="../ink/ink50.xml"/><Relationship Id="rId27" Type="http://schemas.openxmlformats.org/officeDocument/2006/relationships/image" Target="../media/image53.png"/><Relationship Id="rId30" Type="http://schemas.openxmlformats.org/officeDocument/2006/relationships/customXml" Target="../ink/ink54.xml"/><Relationship Id="rId35" Type="http://schemas.openxmlformats.org/officeDocument/2006/relationships/image" Target="../media/image57.png"/><Relationship Id="rId43" Type="http://schemas.openxmlformats.org/officeDocument/2006/relationships/image" Target="../media/image61.png"/><Relationship Id="rId48" Type="http://schemas.openxmlformats.org/officeDocument/2006/relationships/customXml" Target="../ink/ink63.xml"/><Relationship Id="rId56" Type="http://schemas.openxmlformats.org/officeDocument/2006/relationships/customXml" Target="../ink/ink67.xml"/><Relationship Id="rId8" Type="http://schemas.openxmlformats.org/officeDocument/2006/relationships/image" Target="../media/image43.png"/><Relationship Id="rId51" Type="http://schemas.openxmlformats.org/officeDocument/2006/relationships/image" Target="../media/image65.png"/><Relationship Id="rId3" Type="http://schemas.openxmlformats.org/officeDocument/2006/relationships/customXml" Target="../ink/ink41.xml"/><Relationship Id="rId12" Type="http://schemas.openxmlformats.org/officeDocument/2006/relationships/image" Target="../media/image45.png"/><Relationship Id="rId17" Type="http://schemas.openxmlformats.org/officeDocument/2006/relationships/image" Target="../media/image48.png"/><Relationship Id="rId25" Type="http://schemas.openxmlformats.org/officeDocument/2006/relationships/image" Target="../media/image52.png"/><Relationship Id="rId33" Type="http://schemas.openxmlformats.org/officeDocument/2006/relationships/image" Target="../media/image56.png"/><Relationship Id="rId38" Type="http://schemas.openxmlformats.org/officeDocument/2006/relationships/customXml" Target="../ink/ink58.xml"/><Relationship Id="rId46" Type="http://schemas.openxmlformats.org/officeDocument/2006/relationships/customXml" Target="../ink/ink62.xml"/><Relationship Id="rId59" Type="http://schemas.openxmlformats.org/officeDocument/2006/relationships/image" Target="../media/image69.png"/><Relationship Id="rId20" Type="http://schemas.openxmlformats.org/officeDocument/2006/relationships/customXml" Target="../ink/ink49.xml"/><Relationship Id="rId41" Type="http://schemas.openxmlformats.org/officeDocument/2006/relationships/image" Target="../media/image60.png"/><Relationship Id="rId54" Type="http://schemas.openxmlformats.org/officeDocument/2006/relationships/customXml" Target="../ink/ink66.xml"/><Relationship Id="rId1" Type="http://schemas.openxmlformats.org/officeDocument/2006/relationships/customXml" Target="../ink/ink40.xml"/><Relationship Id="rId6" Type="http://schemas.openxmlformats.org/officeDocument/2006/relationships/image" Target="../media/image42.png"/><Relationship Id="rId15" Type="http://schemas.openxmlformats.org/officeDocument/2006/relationships/image" Target="../media/image47.png"/><Relationship Id="rId23" Type="http://schemas.openxmlformats.org/officeDocument/2006/relationships/image" Target="../media/image51.png"/><Relationship Id="rId28" Type="http://schemas.openxmlformats.org/officeDocument/2006/relationships/customXml" Target="../ink/ink53.xml"/><Relationship Id="rId36" Type="http://schemas.openxmlformats.org/officeDocument/2006/relationships/customXml" Target="../ink/ink57.xml"/><Relationship Id="rId49" Type="http://schemas.openxmlformats.org/officeDocument/2006/relationships/image" Target="../media/image64.png"/><Relationship Id="rId57" Type="http://schemas.openxmlformats.org/officeDocument/2006/relationships/image" Target="../media/image68.png"/><Relationship Id="rId10" Type="http://schemas.openxmlformats.org/officeDocument/2006/relationships/image" Target="../media/image44.png"/><Relationship Id="rId31" Type="http://schemas.openxmlformats.org/officeDocument/2006/relationships/image" Target="../media/image55.png"/><Relationship Id="rId44" Type="http://schemas.openxmlformats.org/officeDocument/2006/relationships/customXml" Target="../ink/ink61.xml"/><Relationship Id="rId52" Type="http://schemas.openxmlformats.org/officeDocument/2006/relationships/customXml" Target="../ink/ink6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437895</xdr:colOff>
      <xdr:row>1</xdr:row>
      <xdr:rowOff>330900</xdr:rowOff>
    </xdr:from>
    <xdr:to>
      <xdr:col>28</xdr:col>
      <xdr:colOff>21135</xdr:colOff>
      <xdr:row>2</xdr:row>
      <xdr:rowOff>160500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D81BF720-8B7D-CF74-12A4-A6C05E8C9F34}"/>
                </a:ext>
              </a:extLst>
            </xdr14:cNvPr>
            <xdr14:cNvContentPartPr/>
          </xdr14:nvContentPartPr>
          <xdr14:nvPr macro=""/>
          <xdr14:xfrm>
            <a:off x="16287495" y="530925"/>
            <a:ext cx="802440" cy="21060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D81BF720-8B7D-CF74-12A4-A6C05E8C9F3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281322" y="524805"/>
              <a:ext cx="814785" cy="222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49</xdr:col>
      <xdr:colOff>505620</xdr:colOff>
      <xdr:row>21</xdr:row>
      <xdr:rowOff>159720</xdr:rowOff>
    </xdr:from>
    <xdr:to>
      <xdr:col>51</xdr:col>
      <xdr:colOff>4422</xdr:colOff>
      <xdr:row>23</xdr:row>
      <xdr:rowOff>49830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C3D75058-A71F-550C-35BE-DF40EBCAE2C5}"/>
                </a:ext>
              </a:extLst>
            </xdr14:cNvPr>
            <xdr14:cNvContentPartPr/>
          </xdr14:nvContentPartPr>
          <xdr14:nvPr macro=""/>
          <xdr14:xfrm>
            <a:off x="30861795" y="4941270"/>
            <a:ext cx="713520" cy="29016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C3D75058-A71F-550C-35BE-DF40EBCAE2C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0855647" y="4935467"/>
              <a:ext cx="725816" cy="3017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45</xdr:col>
      <xdr:colOff>142500</xdr:colOff>
      <xdr:row>21</xdr:row>
      <xdr:rowOff>199680</xdr:rowOff>
    </xdr:from>
    <xdr:to>
      <xdr:col>48</xdr:col>
      <xdr:colOff>295500</xdr:colOff>
      <xdr:row>28</xdr:row>
      <xdr:rowOff>80385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47" name="Ink 46">
              <a:extLst>
                <a:ext uri="{FF2B5EF4-FFF2-40B4-BE49-F238E27FC236}">
                  <a16:creationId xmlns:a16="http://schemas.microsoft.com/office/drawing/2014/main" id="{AA263B4C-1D22-8ADD-0478-B288B76C0F08}"/>
                </a:ext>
              </a:extLst>
            </xdr14:cNvPr>
            <xdr14:cNvContentPartPr/>
          </xdr14:nvContentPartPr>
          <xdr14:nvPr macro=""/>
          <xdr14:xfrm>
            <a:off x="28060275" y="4981230"/>
            <a:ext cx="1981800" cy="1280880"/>
          </xdr14:xfrm>
        </xdr:contentPart>
      </mc:Choice>
      <mc:Fallback>
        <xdr:pic>
          <xdr:nvPicPr>
            <xdr:cNvPr id="47" name="Ink 46">
              <a:extLst>
                <a:ext uri="{FF2B5EF4-FFF2-40B4-BE49-F238E27FC236}">
                  <a16:creationId xmlns:a16="http://schemas.microsoft.com/office/drawing/2014/main" id="{AA263B4C-1D22-8ADD-0478-B288B76C0F08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8054114" y="4975166"/>
              <a:ext cx="1994123" cy="129300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48</xdr:col>
      <xdr:colOff>598980</xdr:colOff>
      <xdr:row>25</xdr:row>
      <xdr:rowOff>95100</xdr:rowOff>
    </xdr:from>
    <xdr:to>
      <xdr:col>50</xdr:col>
      <xdr:colOff>562380</xdr:colOff>
      <xdr:row>26</xdr:row>
      <xdr:rowOff>163995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57" name="Ink 56">
              <a:extLst>
                <a:ext uri="{FF2B5EF4-FFF2-40B4-BE49-F238E27FC236}">
                  <a16:creationId xmlns:a16="http://schemas.microsoft.com/office/drawing/2014/main" id="{A10A2F28-84EA-128D-E51D-3DEB3C73D70B}"/>
                </a:ext>
              </a:extLst>
            </xdr14:cNvPr>
            <xdr14:cNvContentPartPr/>
          </xdr14:nvContentPartPr>
          <xdr14:nvPr macro=""/>
          <xdr14:xfrm>
            <a:off x="30345555" y="5676750"/>
            <a:ext cx="1182600" cy="268920"/>
          </xdr14:xfrm>
        </xdr:contentPart>
      </mc:Choice>
      <mc:Fallback>
        <xdr:pic>
          <xdr:nvPicPr>
            <xdr:cNvPr id="57" name="Ink 56">
              <a:extLst>
                <a:ext uri="{FF2B5EF4-FFF2-40B4-BE49-F238E27FC236}">
                  <a16:creationId xmlns:a16="http://schemas.microsoft.com/office/drawing/2014/main" id="{A10A2F28-84EA-128D-E51D-3DEB3C73D70B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30339399" y="5670805"/>
              <a:ext cx="1194911" cy="28081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49</xdr:col>
      <xdr:colOff>361620</xdr:colOff>
      <xdr:row>28</xdr:row>
      <xdr:rowOff>55905</xdr:rowOff>
    </xdr:from>
    <xdr:to>
      <xdr:col>52</xdr:col>
      <xdr:colOff>38940</xdr:colOff>
      <xdr:row>30</xdr:row>
      <xdr:rowOff>108015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65" name="Ink 64">
              <a:extLst>
                <a:ext uri="{FF2B5EF4-FFF2-40B4-BE49-F238E27FC236}">
                  <a16:creationId xmlns:a16="http://schemas.microsoft.com/office/drawing/2014/main" id="{2409D3C2-BEAA-FA58-F3A8-540A69D4714C}"/>
                </a:ext>
              </a:extLst>
            </xdr14:cNvPr>
            <xdr14:cNvContentPartPr/>
          </xdr14:nvContentPartPr>
          <xdr14:nvPr macro=""/>
          <xdr14:xfrm>
            <a:off x="30717795" y="6237630"/>
            <a:ext cx="1658520" cy="452160"/>
          </xdr14:xfrm>
        </xdr:contentPart>
      </mc:Choice>
      <mc:Fallback>
        <xdr:pic>
          <xdr:nvPicPr>
            <xdr:cNvPr id="65" name="Ink 64">
              <a:extLst>
                <a:ext uri="{FF2B5EF4-FFF2-40B4-BE49-F238E27FC236}">
                  <a16:creationId xmlns:a16="http://schemas.microsoft.com/office/drawing/2014/main" id="{2409D3C2-BEAA-FA58-F3A8-540A69D4714C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0711650" y="6231717"/>
              <a:ext cx="1670811" cy="46398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53</xdr:col>
      <xdr:colOff>533100</xdr:colOff>
      <xdr:row>22</xdr:row>
      <xdr:rowOff>199455</xdr:rowOff>
    </xdr:from>
    <xdr:to>
      <xdr:col>54</xdr:col>
      <xdr:colOff>172095</xdr:colOff>
      <xdr:row>24</xdr:row>
      <xdr:rowOff>105405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68" name="Ink 67">
              <a:extLst>
                <a:ext uri="{FF2B5EF4-FFF2-40B4-BE49-F238E27FC236}">
                  <a16:creationId xmlns:a16="http://schemas.microsoft.com/office/drawing/2014/main" id="{4E008A25-C4D8-DC15-6D37-A076CBF4DE1D}"/>
                </a:ext>
              </a:extLst>
            </xdr14:cNvPr>
            <xdr14:cNvContentPartPr/>
          </xdr14:nvContentPartPr>
          <xdr14:nvPr macro=""/>
          <xdr14:xfrm>
            <a:off x="33480075" y="5181030"/>
            <a:ext cx="486720" cy="306000"/>
          </xdr14:xfrm>
        </xdr:contentPart>
      </mc:Choice>
      <mc:Fallback>
        <xdr:pic>
          <xdr:nvPicPr>
            <xdr:cNvPr id="68" name="Ink 67">
              <a:extLst>
                <a:ext uri="{FF2B5EF4-FFF2-40B4-BE49-F238E27FC236}">
                  <a16:creationId xmlns:a16="http://schemas.microsoft.com/office/drawing/2014/main" id="{4E008A25-C4D8-DC15-6D37-A076CBF4DE1D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3473969" y="5175211"/>
              <a:ext cx="498933" cy="31763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46</xdr:col>
      <xdr:colOff>513900</xdr:colOff>
      <xdr:row>29</xdr:row>
      <xdr:rowOff>67920</xdr:rowOff>
    </xdr:from>
    <xdr:to>
      <xdr:col>49</xdr:col>
      <xdr:colOff>143460</xdr:colOff>
      <xdr:row>32</xdr:row>
      <xdr:rowOff>27510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81" name="Ink 80">
              <a:extLst>
                <a:ext uri="{FF2B5EF4-FFF2-40B4-BE49-F238E27FC236}">
                  <a16:creationId xmlns:a16="http://schemas.microsoft.com/office/drawing/2014/main" id="{C2C6EA51-1778-FF8B-0065-327557662A71}"/>
                </a:ext>
              </a:extLst>
            </xdr14:cNvPr>
            <xdr14:cNvContentPartPr/>
          </xdr14:nvContentPartPr>
          <xdr14:nvPr macro=""/>
          <xdr14:xfrm>
            <a:off x="29041275" y="6449670"/>
            <a:ext cx="1458360" cy="559665"/>
          </xdr14:xfrm>
        </xdr:contentPart>
      </mc:Choice>
      <mc:Fallback>
        <xdr:pic>
          <xdr:nvPicPr>
            <xdr:cNvPr id="81" name="Ink 80">
              <a:extLst>
                <a:ext uri="{FF2B5EF4-FFF2-40B4-BE49-F238E27FC236}">
                  <a16:creationId xmlns:a16="http://schemas.microsoft.com/office/drawing/2014/main" id="{C2C6EA51-1778-FF8B-0065-327557662A71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9035099" y="6443606"/>
              <a:ext cx="1470713" cy="5717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367815</xdr:colOff>
      <xdr:row>24</xdr:row>
      <xdr:rowOff>8925</xdr:rowOff>
    </xdr:from>
    <xdr:to>
      <xdr:col>56</xdr:col>
      <xdr:colOff>354300</xdr:colOff>
      <xdr:row>26</xdr:row>
      <xdr:rowOff>33315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133659C4-62DC-23BF-87B1-0F11462BAFBB}"/>
                </a:ext>
              </a:extLst>
            </xdr14:cNvPr>
            <xdr14:cNvContentPartPr/>
          </xdr14:nvContentPartPr>
          <xdr14:nvPr macro=""/>
          <xdr14:xfrm>
            <a:off x="34162515" y="5390550"/>
            <a:ext cx="1205685" cy="424440"/>
          </xdr14:xfrm>
        </xdr:contentPart>
      </mc:Choice>
      <mc:Fallback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133659C4-62DC-23BF-87B1-0F11462BAFBB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4156360" y="5384650"/>
              <a:ext cx="1217995" cy="436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59</xdr:col>
      <xdr:colOff>85020</xdr:colOff>
      <xdr:row>29</xdr:row>
      <xdr:rowOff>56625</xdr:rowOff>
    </xdr:from>
    <xdr:to>
      <xdr:col>59</xdr:col>
      <xdr:colOff>124260</xdr:colOff>
      <xdr:row>29</xdr:row>
      <xdr:rowOff>88665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106" name="Ink 105">
              <a:extLst>
                <a:ext uri="{FF2B5EF4-FFF2-40B4-BE49-F238E27FC236}">
                  <a16:creationId xmlns:a16="http://schemas.microsoft.com/office/drawing/2014/main" id="{6B477C3F-7071-7EE1-E5A2-F738F6426A56}"/>
                </a:ext>
              </a:extLst>
            </xdr14:cNvPr>
            <xdr14:cNvContentPartPr/>
          </xdr14:nvContentPartPr>
          <xdr14:nvPr macro=""/>
          <xdr14:xfrm>
            <a:off x="36927720" y="6438375"/>
            <a:ext cx="39240" cy="32040"/>
          </xdr14:xfrm>
        </xdr:contentPart>
      </mc:Choice>
      <mc:Fallback>
        <xdr:pic>
          <xdr:nvPicPr>
            <xdr:cNvPr id="106" name="Ink 105">
              <a:extLst>
                <a:ext uri="{FF2B5EF4-FFF2-40B4-BE49-F238E27FC236}">
                  <a16:creationId xmlns:a16="http://schemas.microsoft.com/office/drawing/2014/main" id="{6B477C3F-7071-7EE1-E5A2-F738F6426A56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36921600" y="6432255"/>
              <a:ext cx="51480" cy="4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580260</xdr:colOff>
      <xdr:row>24</xdr:row>
      <xdr:rowOff>46950</xdr:rowOff>
    </xdr:from>
    <xdr:to>
      <xdr:col>63</xdr:col>
      <xdr:colOff>476220</xdr:colOff>
      <xdr:row>30</xdr:row>
      <xdr:rowOff>174480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118" name="Ink 117">
              <a:extLst>
                <a:ext uri="{FF2B5EF4-FFF2-40B4-BE49-F238E27FC236}">
                  <a16:creationId xmlns:a16="http://schemas.microsoft.com/office/drawing/2014/main" id="{D1EB7C5C-9FA5-2E8E-6663-D5779E689D87}"/>
                </a:ext>
              </a:extLst>
            </xdr14:cNvPr>
            <xdr14:cNvContentPartPr/>
          </xdr14:nvContentPartPr>
          <xdr14:nvPr macro=""/>
          <xdr14:xfrm>
            <a:off x="34374960" y="5428575"/>
            <a:ext cx="5382360" cy="1327680"/>
          </xdr14:xfrm>
        </xdr:contentPart>
      </mc:Choice>
      <mc:Fallback>
        <xdr:pic>
          <xdr:nvPicPr>
            <xdr:cNvPr id="118" name="Ink 117">
              <a:extLst>
                <a:ext uri="{FF2B5EF4-FFF2-40B4-BE49-F238E27FC236}">
                  <a16:creationId xmlns:a16="http://schemas.microsoft.com/office/drawing/2014/main" id="{D1EB7C5C-9FA5-2E8E-6663-D5779E689D87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4368794" y="5422503"/>
              <a:ext cx="5394692" cy="133982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34</xdr:col>
      <xdr:colOff>333120</xdr:colOff>
      <xdr:row>23</xdr:row>
      <xdr:rowOff>161295</xdr:rowOff>
    </xdr:from>
    <xdr:to>
      <xdr:col>44</xdr:col>
      <xdr:colOff>268785</xdr:colOff>
      <xdr:row>25</xdr:row>
      <xdr:rowOff>104685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123" name="Ink 122">
              <a:extLst>
                <a:ext uri="{FF2B5EF4-FFF2-40B4-BE49-F238E27FC236}">
                  <a16:creationId xmlns:a16="http://schemas.microsoft.com/office/drawing/2014/main" id="{0F165DC1-72EC-C18C-5C9A-40BF6C70ABF3}"/>
                </a:ext>
              </a:extLst>
            </xdr14:cNvPr>
            <xdr14:cNvContentPartPr/>
          </xdr14:nvContentPartPr>
          <xdr14:nvPr macro=""/>
          <xdr14:xfrm>
            <a:off x="21059520" y="5342895"/>
            <a:ext cx="6517440" cy="343440"/>
          </xdr14:xfrm>
        </xdr:contentPart>
      </mc:Choice>
      <mc:Fallback>
        <xdr:pic>
          <xdr:nvPicPr>
            <xdr:cNvPr id="123" name="Ink 122">
              <a:extLst>
                <a:ext uri="{FF2B5EF4-FFF2-40B4-BE49-F238E27FC236}">
                  <a16:creationId xmlns:a16="http://schemas.microsoft.com/office/drawing/2014/main" id="{0F165DC1-72EC-C18C-5C9A-40BF6C70ABF3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1053375" y="5336838"/>
              <a:ext cx="6529730" cy="35555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34</xdr:col>
      <xdr:colOff>456960</xdr:colOff>
      <xdr:row>27</xdr:row>
      <xdr:rowOff>189915</xdr:rowOff>
    </xdr:from>
    <xdr:to>
      <xdr:col>54</xdr:col>
      <xdr:colOff>301500</xdr:colOff>
      <xdr:row>36</xdr:row>
      <xdr:rowOff>124890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126" name="Ink 125">
              <a:extLst>
                <a:ext uri="{FF2B5EF4-FFF2-40B4-BE49-F238E27FC236}">
                  <a16:creationId xmlns:a16="http://schemas.microsoft.com/office/drawing/2014/main" id="{F34FBAF4-2780-0622-ABF6-D023467141B6}"/>
                </a:ext>
              </a:extLst>
            </xdr14:cNvPr>
            <xdr14:cNvContentPartPr/>
          </xdr14:nvContentPartPr>
          <xdr14:nvPr macro=""/>
          <xdr14:xfrm>
            <a:off x="21183360" y="6171615"/>
            <a:ext cx="12912840" cy="1735200"/>
          </xdr14:xfrm>
        </xdr:contentPart>
      </mc:Choice>
      <mc:Fallback>
        <xdr:pic>
          <xdr:nvPicPr>
            <xdr:cNvPr id="126" name="Ink 125">
              <a:extLst>
                <a:ext uri="{FF2B5EF4-FFF2-40B4-BE49-F238E27FC236}">
                  <a16:creationId xmlns:a16="http://schemas.microsoft.com/office/drawing/2014/main" id="{F34FBAF4-2780-0622-ABF6-D023467141B6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1177212" y="6165549"/>
              <a:ext cx="12925135" cy="174733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380880</xdr:colOff>
      <xdr:row>0</xdr:row>
      <xdr:rowOff>176040</xdr:rowOff>
    </xdr:from>
    <xdr:to>
      <xdr:col>3</xdr:col>
      <xdr:colOff>273367</xdr:colOff>
      <xdr:row>3</xdr:row>
      <xdr:rowOff>9388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133" name="Ink 132">
              <a:extLst>
                <a:ext uri="{FF2B5EF4-FFF2-40B4-BE49-F238E27FC236}">
                  <a16:creationId xmlns:a16="http://schemas.microsoft.com/office/drawing/2014/main" id="{5DCE3E89-E2BE-D12E-548B-B573F1587E4F}"/>
                </a:ext>
              </a:extLst>
            </xdr14:cNvPr>
            <xdr14:cNvContentPartPr/>
          </xdr14:nvContentPartPr>
          <xdr14:nvPr macro=""/>
          <xdr14:xfrm>
            <a:off x="380880" y="176040"/>
            <a:ext cx="1707840" cy="617760"/>
          </xdr14:xfrm>
        </xdr:contentPart>
      </mc:Choice>
      <mc:Fallback>
        <xdr:pic>
          <xdr:nvPicPr>
            <xdr:cNvPr id="133" name="Ink 132">
              <a:extLst>
                <a:ext uri="{FF2B5EF4-FFF2-40B4-BE49-F238E27FC236}">
                  <a16:creationId xmlns:a16="http://schemas.microsoft.com/office/drawing/2014/main" id="{5DCE3E89-E2BE-D12E-548B-B573F1587E4F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74760" y="169920"/>
              <a:ext cx="1720080" cy="630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413121</xdr:colOff>
      <xdr:row>1</xdr:row>
      <xdr:rowOff>22214</xdr:rowOff>
    </xdr:from>
    <xdr:to>
      <xdr:col>19</xdr:col>
      <xdr:colOff>53566</xdr:colOff>
      <xdr:row>2</xdr:row>
      <xdr:rowOff>161054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140" name="Ink 139">
              <a:extLst>
                <a:ext uri="{FF2B5EF4-FFF2-40B4-BE49-F238E27FC236}">
                  <a16:creationId xmlns:a16="http://schemas.microsoft.com/office/drawing/2014/main" id="{C772427E-6175-55C7-6232-274009283D6A}"/>
                </a:ext>
              </a:extLst>
            </xdr14:cNvPr>
            <xdr14:cNvContentPartPr/>
          </xdr14:nvContentPartPr>
          <xdr14:nvPr macro=""/>
          <xdr14:xfrm>
            <a:off x="10700121" y="223920"/>
            <a:ext cx="850680" cy="519840"/>
          </xdr14:xfrm>
        </xdr:contentPart>
      </mc:Choice>
      <mc:Fallback>
        <xdr:pic>
          <xdr:nvPicPr>
            <xdr:cNvPr id="140" name="Ink 139">
              <a:extLst>
                <a:ext uri="{FF2B5EF4-FFF2-40B4-BE49-F238E27FC236}">
                  <a16:creationId xmlns:a16="http://schemas.microsoft.com/office/drawing/2014/main" id="{C772427E-6175-55C7-6232-274009283D6A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0694017" y="217800"/>
              <a:ext cx="862889" cy="532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55525</xdr:colOff>
      <xdr:row>0</xdr:row>
      <xdr:rowOff>77040</xdr:rowOff>
    </xdr:from>
    <xdr:to>
      <xdr:col>19</xdr:col>
      <xdr:colOff>531085</xdr:colOff>
      <xdr:row>1</xdr:row>
      <xdr:rowOff>372134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141" name="Ink 140">
              <a:extLst>
                <a:ext uri="{FF2B5EF4-FFF2-40B4-BE49-F238E27FC236}">
                  <a16:creationId xmlns:a16="http://schemas.microsoft.com/office/drawing/2014/main" id="{3C5A4F40-509F-33BB-A2F3-4C7A648738EC}"/>
                </a:ext>
              </a:extLst>
            </xdr14:cNvPr>
            <xdr14:cNvContentPartPr/>
          </xdr14:nvContentPartPr>
          <xdr14:nvPr macro=""/>
          <xdr14:xfrm>
            <a:off x="11552760" y="77040"/>
            <a:ext cx="475560" cy="496800"/>
          </xdr14:xfrm>
        </xdr:contentPart>
      </mc:Choice>
      <mc:Fallback>
        <xdr:pic>
          <xdr:nvPicPr>
            <xdr:cNvPr id="141" name="Ink 140">
              <a:extLst>
                <a:ext uri="{FF2B5EF4-FFF2-40B4-BE49-F238E27FC236}">
                  <a16:creationId xmlns:a16="http://schemas.microsoft.com/office/drawing/2014/main" id="{3C5A4F40-509F-33BB-A2F3-4C7A648738EC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11546640" y="70920"/>
              <a:ext cx="487800" cy="509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33533</xdr:colOff>
      <xdr:row>43</xdr:row>
      <xdr:rowOff>68417</xdr:rowOff>
    </xdr:from>
    <xdr:to>
      <xdr:col>32</xdr:col>
      <xdr:colOff>313782</xdr:colOff>
      <xdr:row>47</xdr:row>
      <xdr:rowOff>193634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148" name="Ink 147">
              <a:extLst>
                <a:ext uri="{FF2B5EF4-FFF2-40B4-BE49-F238E27FC236}">
                  <a16:creationId xmlns:a16="http://schemas.microsoft.com/office/drawing/2014/main" id="{8C59AE2E-5B74-C946-6E2B-271C4624E0A8}"/>
                </a:ext>
              </a:extLst>
            </xdr14:cNvPr>
            <xdr14:cNvContentPartPr/>
          </xdr14:nvContentPartPr>
          <xdr14:nvPr macro=""/>
          <xdr14:xfrm>
            <a:off x="16976827" y="9324476"/>
            <a:ext cx="2700720" cy="932040"/>
          </xdr14:xfrm>
        </xdr:contentPart>
      </mc:Choice>
      <mc:Fallback>
        <xdr:pic>
          <xdr:nvPicPr>
            <xdr:cNvPr id="148" name="Ink 147">
              <a:extLst>
                <a:ext uri="{FF2B5EF4-FFF2-40B4-BE49-F238E27FC236}">
                  <a16:creationId xmlns:a16="http://schemas.microsoft.com/office/drawing/2014/main" id="{8C59AE2E-5B74-C946-6E2B-271C4624E0A8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16970707" y="9318356"/>
              <a:ext cx="2712960" cy="94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33</xdr:col>
      <xdr:colOff>267385</xdr:colOff>
      <xdr:row>42</xdr:row>
      <xdr:rowOff>100563</xdr:rowOff>
    </xdr:from>
    <xdr:to>
      <xdr:col>37</xdr:col>
      <xdr:colOff>240649</xdr:colOff>
      <xdr:row>46</xdr:row>
      <xdr:rowOff>114900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">
          <xdr14:nvContentPartPr>
            <xdr14:cNvPr id="161" name="Ink 160">
              <a:extLst>
                <a:ext uri="{FF2B5EF4-FFF2-40B4-BE49-F238E27FC236}">
                  <a16:creationId xmlns:a16="http://schemas.microsoft.com/office/drawing/2014/main" id="{EBACAA78-E791-713D-4067-A83FC4DAA5BF}"/>
                </a:ext>
              </a:extLst>
            </xdr14:cNvPr>
            <xdr14:cNvContentPartPr/>
          </xdr14:nvContentPartPr>
          <xdr14:nvPr macro=""/>
          <xdr14:xfrm>
            <a:off x="20236267" y="9154916"/>
            <a:ext cx="2898000" cy="821160"/>
          </xdr14:xfrm>
        </xdr:contentPart>
      </mc:Choice>
      <mc:Fallback>
        <xdr:pic>
          <xdr:nvPicPr>
            <xdr:cNvPr id="161" name="Ink 160">
              <a:extLst>
                <a:ext uri="{FF2B5EF4-FFF2-40B4-BE49-F238E27FC236}">
                  <a16:creationId xmlns:a16="http://schemas.microsoft.com/office/drawing/2014/main" id="{EBACAA78-E791-713D-4067-A83FC4DAA5BF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20230147" y="9148796"/>
              <a:ext cx="2910240" cy="83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30</xdr:col>
      <xdr:colOff>523218</xdr:colOff>
      <xdr:row>49</xdr:row>
      <xdr:rowOff>44742</xdr:rowOff>
    </xdr:from>
    <xdr:to>
      <xdr:col>34</xdr:col>
      <xdr:colOff>412507</xdr:colOff>
      <xdr:row>51</xdr:row>
      <xdr:rowOff>142810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">
          <xdr14:nvContentPartPr>
            <xdr14:cNvPr id="171" name="Ink 170">
              <a:extLst>
                <a:ext uri="{FF2B5EF4-FFF2-40B4-BE49-F238E27FC236}">
                  <a16:creationId xmlns:a16="http://schemas.microsoft.com/office/drawing/2014/main" id="{EA2C431C-2D14-9302-CA4B-DB9871609E22}"/>
                </a:ext>
              </a:extLst>
            </xdr14:cNvPr>
            <xdr14:cNvContentPartPr/>
          </xdr14:nvContentPartPr>
          <xdr14:nvPr macro=""/>
          <xdr14:xfrm>
            <a:off x="18676747" y="10511036"/>
            <a:ext cx="2309760" cy="501480"/>
          </xdr14:xfrm>
        </xdr:contentPart>
      </mc:Choice>
      <mc:Fallback>
        <xdr:pic>
          <xdr:nvPicPr>
            <xdr:cNvPr id="171" name="Ink 170">
              <a:extLst>
                <a:ext uri="{FF2B5EF4-FFF2-40B4-BE49-F238E27FC236}">
                  <a16:creationId xmlns:a16="http://schemas.microsoft.com/office/drawing/2014/main" id="{EA2C431C-2D14-9302-CA4B-DB9871609E22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18670627" y="10504916"/>
              <a:ext cx="2322000" cy="51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44</xdr:col>
      <xdr:colOff>210868</xdr:colOff>
      <xdr:row>39</xdr:row>
      <xdr:rowOff>156212</xdr:rowOff>
    </xdr:from>
    <xdr:to>
      <xdr:col>49</xdr:col>
      <xdr:colOff>156720</xdr:colOff>
      <xdr:row>46</xdr:row>
      <xdr:rowOff>111911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">
          <xdr14:nvContentPartPr>
            <xdr14:cNvPr id="182" name="Ink 181">
              <a:extLst>
                <a:ext uri="{FF2B5EF4-FFF2-40B4-BE49-F238E27FC236}">
                  <a16:creationId xmlns:a16="http://schemas.microsoft.com/office/drawing/2014/main" id="{88FDEA71-0184-C5E0-0F17-DD946B60E4D2}"/>
                </a:ext>
              </a:extLst>
            </xdr14:cNvPr>
            <xdr14:cNvContentPartPr/>
          </xdr14:nvContentPartPr>
          <xdr14:nvPr macro=""/>
          <xdr14:xfrm>
            <a:off x="27340309" y="8605447"/>
            <a:ext cx="2971440" cy="1367640"/>
          </xdr14:xfrm>
        </xdr:contentPart>
      </mc:Choice>
      <mc:Fallback>
        <xdr:pic>
          <xdr:nvPicPr>
            <xdr:cNvPr id="182" name="Ink 181">
              <a:extLst>
                <a:ext uri="{FF2B5EF4-FFF2-40B4-BE49-F238E27FC236}">
                  <a16:creationId xmlns:a16="http://schemas.microsoft.com/office/drawing/2014/main" id="{88FDEA71-0184-C5E0-0F17-DD946B60E4D2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27334189" y="8599327"/>
              <a:ext cx="2983680" cy="1379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110061</xdr:colOff>
      <xdr:row>40</xdr:row>
      <xdr:rowOff>156533</xdr:rowOff>
    </xdr:from>
    <xdr:to>
      <xdr:col>52</xdr:col>
      <xdr:colOff>263943</xdr:colOff>
      <xdr:row>43</xdr:row>
      <xdr:rowOff>23375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">
          <xdr14:nvContentPartPr>
            <xdr14:cNvPr id="199" name="Ink 198">
              <a:extLst>
                <a:ext uri="{FF2B5EF4-FFF2-40B4-BE49-F238E27FC236}">
                  <a16:creationId xmlns:a16="http://schemas.microsoft.com/office/drawing/2014/main" id="{E527EE85-DC4B-C37E-564A-A5C72E234844}"/>
                </a:ext>
              </a:extLst>
            </xdr14:cNvPr>
            <xdr14:cNvContentPartPr/>
          </xdr14:nvContentPartPr>
          <xdr14:nvPr macro=""/>
          <xdr14:xfrm>
            <a:off x="30870208" y="8807474"/>
            <a:ext cx="1521000" cy="471960"/>
          </xdr14:xfrm>
        </xdr:contentPart>
      </mc:Choice>
      <mc:Fallback>
        <xdr:pic>
          <xdr:nvPicPr>
            <xdr:cNvPr id="199" name="Ink 198">
              <a:extLst>
                <a:ext uri="{FF2B5EF4-FFF2-40B4-BE49-F238E27FC236}">
                  <a16:creationId xmlns:a16="http://schemas.microsoft.com/office/drawing/2014/main" id="{E527EE85-DC4B-C37E-564A-A5C72E234844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30864088" y="8801354"/>
              <a:ext cx="1533240" cy="48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525988</xdr:colOff>
      <xdr:row>40</xdr:row>
      <xdr:rowOff>122693</xdr:rowOff>
    </xdr:from>
    <xdr:to>
      <xdr:col>59</xdr:col>
      <xdr:colOff>155590</xdr:colOff>
      <xdr:row>42</xdr:row>
      <xdr:rowOff>87201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">
          <xdr14:nvContentPartPr>
            <xdr14:cNvPr id="214" name="Ink 213">
              <a:extLst>
                <a:ext uri="{FF2B5EF4-FFF2-40B4-BE49-F238E27FC236}">
                  <a16:creationId xmlns:a16="http://schemas.microsoft.com/office/drawing/2014/main" id="{60DFE4C3-2A19-45B2-443B-B5F6810F1333}"/>
                </a:ext>
              </a:extLst>
            </xdr14:cNvPr>
            <xdr14:cNvContentPartPr/>
          </xdr14:nvContentPartPr>
          <xdr14:nvPr macro=""/>
          <xdr14:xfrm>
            <a:off x="36530488" y="8773634"/>
            <a:ext cx="234720" cy="367920"/>
          </xdr14:xfrm>
        </xdr:contentPart>
      </mc:Choice>
      <mc:Fallback>
        <xdr:pic>
          <xdr:nvPicPr>
            <xdr:cNvPr id="214" name="Ink 213">
              <a:extLst>
                <a:ext uri="{FF2B5EF4-FFF2-40B4-BE49-F238E27FC236}">
                  <a16:creationId xmlns:a16="http://schemas.microsoft.com/office/drawing/2014/main" id="{60DFE4C3-2A19-45B2-443B-B5F6810F1333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6524396" y="8767711"/>
              <a:ext cx="246904" cy="3797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278943</xdr:colOff>
      <xdr:row>48</xdr:row>
      <xdr:rowOff>113206</xdr:rowOff>
    </xdr:from>
    <xdr:to>
      <xdr:col>58</xdr:col>
      <xdr:colOff>36388</xdr:colOff>
      <xdr:row>51</xdr:row>
      <xdr:rowOff>34768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3">
          <xdr14:nvContentPartPr>
            <xdr14:cNvPr id="248" name="Ink 247">
              <a:extLst>
                <a:ext uri="{FF2B5EF4-FFF2-40B4-BE49-F238E27FC236}">
                  <a16:creationId xmlns:a16="http://schemas.microsoft.com/office/drawing/2014/main" id="{6BEC715D-A169-A20B-33FD-8CD17934E68B}"/>
                </a:ext>
              </a:extLst>
            </xdr14:cNvPr>
            <xdr14:cNvContentPartPr/>
          </xdr14:nvContentPartPr>
          <xdr14:nvPr macro=""/>
          <xdr14:xfrm>
            <a:off x="35073208" y="10377794"/>
            <a:ext cx="967680" cy="526680"/>
          </xdr14:xfrm>
        </xdr:contentPart>
      </mc:Choice>
      <mc:Fallback>
        <xdr:pic>
          <xdr:nvPicPr>
            <xdr:cNvPr id="248" name="Ink 247">
              <a:extLst>
                <a:ext uri="{FF2B5EF4-FFF2-40B4-BE49-F238E27FC236}">
                  <a16:creationId xmlns:a16="http://schemas.microsoft.com/office/drawing/2014/main" id="{6BEC715D-A169-A20B-33FD-8CD17934E68B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35067088" y="10371674"/>
              <a:ext cx="979920" cy="53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155943</xdr:colOff>
      <xdr:row>47</xdr:row>
      <xdr:rowOff>55712</xdr:rowOff>
    </xdr:from>
    <xdr:to>
      <xdr:col>55</xdr:col>
      <xdr:colOff>290061</xdr:colOff>
      <xdr:row>50</xdr:row>
      <xdr:rowOff>161954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5">
          <xdr14:nvContentPartPr>
            <xdr14:cNvPr id="249" name="Ink 248">
              <a:extLst>
                <a:ext uri="{FF2B5EF4-FFF2-40B4-BE49-F238E27FC236}">
                  <a16:creationId xmlns:a16="http://schemas.microsoft.com/office/drawing/2014/main" id="{774C11AC-7BB4-F031-2063-70E288156C25}"/>
                </a:ext>
              </a:extLst>
            </xdr14:cNvPr>
            <xdr14:cNvContentPartPr/>
          </xdr14:nvContentPartPr>
          <xdr14:nvPr macro=""/>
          <xdr14:xfrm>
            <a:off x="32283208" y="10118594"/>
            <a:ext cx="2196000" cy="711360"/>
          </xdr14:xfrm>
        </xdr:contentPart>
      </mc:Choice>
      <mc:Fallback>
        <xdr:pic>
          <xdr:nvPicPr>
            <xdr:cNvPr id="249" name="Ink 248">
              <a:extLst>
                <a:ext uri="{FF2B5EF4-FFF2-40B4-BE49-F238E27FC236}">
                  <a16:creationId xmlns:a16="http://schemas.microsoft.com/office/drawing/2014/main" id="{774C11AC-7BB4-F031-2063-70E288156C25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32277088" y="10112474"/>
              <a:ext cx="2208240" cy="723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389421</xdr:colOff>
      <xdr:row>45</xdr:row>
      <xdr:rowOff>100563</xdr:rowOff>
    </xdr:from>
    <xdr:to>
      <xdr:col>51</xdr:col>
      <xdr:colOff>605103</xdr:colOff>
      <xdr:row>50</xdr:row>
      <xdr:rowOff>11474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7">
          <xdr14:nvContentPartPr>
            <xdr14:cNvPr id="250" name="Ink 249">
              <a:extLst>
                <a:ext uri="{FF2B5EF4-FFF2-40B4-BE49-F238E27FC236}">
                  <a16:creationId xmlns:a16="http://schemas.microsoft.com/office/drawing/2014/main" id="{3417FDC4-8197-5A47-89B1-34B88C7F081E}"/>
                </a:ext>
              </a:extLst>
            </xdr14:cNvPr>
            <xdr14:cNvContentPartPr/>
          </xdr14:nvContentPartPr>
          <xdr14:nvPr macro=""/>
          <xdr14:xfrm>
            <a:off x="31149568" y="9760034"/>
            <a:ext cx="820800" cy="919440"/>
          </xdr14:xfrm>
        </xdr:contentPart>
      </mc:Choice>
      <mc:Fallback>
        <xdr:pic>
          <xdr:nvPicPr>
            <xdr:cNvPr id="250" name="Ink 249">
              <a:extLst>
                <a:ext uri="{FF2B5EF4-FFF2-40B4-BE49-F238E27FC236}">
                  <a16:creationId xmlns:a16="http://schemas.microsoft.com/office/drawing/2014/main" id="{3417FDC4-8197-5A47-89B1-34B88C7F081E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31143504" y="9753994"/>
              <a:ext cx="832928" cy="93151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537508</xdr:colOff>
      <xdr:row>49</xdr:row>
      <xdr:rowOff>91500</xdr:rowOff>
    </xdr:from>
    <xdr:to>
      <xdr:col>59</xdr:col>
      <xdr:colOff>167110</xdr:colOff>
      <xdr:row>50</xdr:row>
      <xdr:rowOff>22994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9">
          <xdr14:nvContentPartPr>
            <xdr14:cNvPr id="253" name="Ink 252">
              <a:extLst>
                <a:ext uri="{FF2B5EF4-FFF2-40B4-BE49-F238E27FC236}">
                  <a16:creationId xmlns:a16="http://schemas.microsoft.com/office/drawing/2014/main" id="{C93C5A34-DA4D-DC3B-1833-1C067132BD95}"/>
                </a:ext>
              </a:extLst>
            </xdr14:cNvPr>
            <xdr14:cNvContentPartPr/>
          </xdr14:nvContentPartPr>
          <xdr14:nvPr macro=""/>
          <xdr14:xfrm>
            <a:off x="36542008" y="10557794"/>
            <a:ext cx="234720" cy="133200"/>
          </xdr14:xfrm>
        </xdr:contentPart>
      </mc:Choice>
      <mc:Fallback>
        <xdr:pic>
          <xdr:nvPicPr>
            <xdr:cNvPr id="253" name="Ink 252">
              <a:extLst>
                <a:ext uri="{FF2B5EF4-FFF2-40B4-BE49-F238E27FC236}">
                  <a16:creationId xmlns:a16="http://schemas.microsoft.com/office/drawing/2014/main" id="{C93C5A34-DA4D-DC3B-1833-1C067132BD95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36535916" y="10551943"/>
              <a:ext cx="246904" cy="14490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459113</xdr:colOff>
      <xdr:row>48</xdr:row>
      <xdr:rowOff>166846</xdr:rowOff>
    </xdr:from>
    <xdr:to>
      <xdr:col>65</xdr:col>
      <xdr:colOff>268164</xdr:colOff>
      <xdr:row>49</xdr:row>
      <xdr:rowOff>63780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1">
          <xdr14:nvContentPartPr>
            <xdr14:cNvPr id="265" name="Ink 264">
              <a:extLst>
                <a:ext uri="{FF2B5EF4-FFF2-40B4-BE49-F238E27FC236}">
                  <a16:creationId xmlns:a16="http://schemas.microsoft.com/office/drawing/2014/main" id="{B278AB9D-2361-2419-094F-424559A34B18}"/>
                </a:ext>
              </a:extLst>
            </xdr14:cNvPr>
            <xdr14:cNvContentPartPr/>
          </xdr14:nvContentPartPr>
          <xdr14:nvPr macro=""/>
          <xdr14:xfrm>
            <a:off x="37673848" y="10431434"/>
            <a:ext cx="2834640" cy="98640"/>
          </xdr14:xfrm>
        </xdr:contentPart>
      </mc:Choice>
      <mc:Fallback>
        <xdr:pic>
          <xdr:nvPicPr>
            <xdr:cNvPr id="265" name="Ink 264">
              <a:extLst>
                <a:ext uri="{FF2B5EF4-FFF2-40B4-BE49-F238E27FC236}">
                  <a16:creationId xmlns:a16="http://schemas.microsoft.com/office/drawing/2014/main" id="{B278AB9D-2361-2419-094F-424559A34B18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37667728" y="10425314"/>
              <a:ext cx="2846880" cy="11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559997</xdr:colOff>
      <xdr:row>50</xdr:row>
      <xdr:rowOff>8234</xdr:rowOff>
    </xdr:from>
    <xdr:to>
      <xdr:col>63</xdr:col>
      <xdr:colOff>471840</xdr:colOff>
      <xdr:row>51</xdr:row>
      <xdr:rowOff>103528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3">
          <xdr14:nvContentPartPr>
            <xdr14:cNvPr id="268" name="Ink 267">
              <a:extLst>
                <a:ext uri="{FF2B5EF4-FFF2-40B4-BE49-F238E27FC236}">
                  <a16:creationId xmlns:a16="http://schemas.microsoft.com/office/drawing/2014/main" id="{A5B72609-616B-49DD-40AE-1082AF5D9172}"/>
                </a:ext>
              </a:extLst>
            </xdr14:cNvPr>
            <xdr14:cNvContentPartPr/>
          </xdr14:nvContentPartPr>
          <xdr14:nvPr macro=""/>
          <xdr14:xfrm>
            <a:off x="38984968" y="10676234"/>
            <a:ext cx="516960" cy="297000"/>
          </xdr14:xfrm>
        </xdr:contentPart>
      </mc:Choice>
      <mc:Fallback>
        <xdr:pic>
          <xdr:nvPicPr>
            <xdr:cNvPr id="268" name="Ink 267">
              <a:extLst>
                <a:ext uri="{FF2B5EF4-FFF2-40B4-BE49-F238E27FC236}">
                  <a16:creationId xmlns:a16="http://schemas.microsoft.com/office/drawing/2014/main" id="{A5B72609-616B-49DD-40AE-1082AF5D9172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38978861" y="10670230"/>
              <a:ext cx="529174" cy="30900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49</xdr:col>
      <xdr:colOff>313419</xdr:colOff>
      <xdr:row>41</xdr:row>
      <xdr:rowOff>201469</xdr:rowOff>
    </xdr:from>
    <xdr:to>
      <xdr:col>49</xdr:col>
      <xdr:colOff>582699</xdr:colOff>
      <xdr:row>42</xdr:row>
      <xdr:rowOff>179763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5">
          <xdr14:nvContentPartPr>
            <xdr14:cNvPr id="271" name="Ink 270">
              <a:extLst>
                <a:ext uri="{FF2B5EF4-FFF2-40B4-BE49-F238E27FC236}">
                  <a16:creationId xmlns:a16="http://schemas.microsoft.com/office/drawing/2014/main" id="{6356885B-0202-EFD1-A72F-995E20B25405}"/>
                </a:ext>
              </a:extLst>
            </xdr14:cNvPr>
            <xdr14:cNvContentPartPr/>
          </xdr14:nvContentPartPr>
          <xdr14:nvPr macro=""/>
          <xdr14:xfrm>
            <a:off x="30468448" y="9054116"/>
            <a:ext cx="269280" cy="180000"/>
          </xdr14:xfrm>
        </xdr:contentPart>
      </mc:Choice>
      <mc:Fallback>
        <xdr:pic>
          <xdr:nvPicPr>
            <xdr:cNvPr id="271" name="Ink 270">
              <a:extLst>
                <a:ext uri="{FF2B5EF4-FFF2-40B4-BE49-F238E27FC236}">
                  <a16:creationId xmlns:a16="http://schemas.microsoft.com/office/drawing/2014/main" id="{6356885B-0202-EFD1-A72F-995E20B25405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30462328" y="9047996"/>
              <a:ext cx="281520" cy="192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49</xdr:col>
      <xdr:colOff>268779</xdr:colOff>
      <xdr:row>54</xdr:row>
      <xdr:rowOff>55372</xdr:rowOff>
    </xdr:from>
    <xdr:to>
      <xdr:col>52</xdr:col>
      <xdr:colOff>145863</xdr:colOff>
      <xdr:row>56</xdr:row>
      <xdr:rowOff>167841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7">
          <xdr14:nvContentPartPr>
            <xdr14:cNvPr id="281" name="Ink 280">
              <a:extLst>
                <a:ext uri="{FF2B5EF4-FFF2-40B4-BE49-F238E27FC236}">
                  <a16:creationId xmlns:a16="http://schemas.microsoft.com/office/drawing/2014/main" id="{B5B296A8-1B19-F784-DF82-748A7C111804}"/>
                </a:ext>
              </a:extLst>
            </xdr14:cNvPr>
            <xdr14:cNvContentPartPr/>
          </xdr14:nvContentPartPr>
          <xdr14:nvPr macro=""/>
          <xdr14:xfrm>
            <a:off x="30423808" y="11530196"/>
            <a:ext cx="1849320" cy="515880"/>
          </xdr14:xfrm>
        </xdr:contentPart>
      </mc:Choice>
      <mc:Fallback>
        <xdr:pic>
          <xdr:nvPicPr>
            <xdr:cNvPr id="281" name="Ink 280">
              <a:extLst>
                <a:ext uri="{FF2B5EF4-FFF2-40B4-BE49-F238E27FC236}">
                  <a16:creationId xmlns:a16="http://schemas.microsoft.com/office/drawing/2014/main" id="{B5B296A8-1B19-F784-DF82-748A7C111804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30417695" y="11524218"/>
              <a:ext cx="1861546" cy="52783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53</xdr:col>
      <xdr:colOff>212506</xdr:colOff>
      <xdr:row>53</xdr:row>
      <xdr:rowOff>122798</xdr:rowOff>
    </xdr:from>
    <xdr:to>
      <xdr:col>57</xdr:col>
      <xdr:colOff>115906</xdr:colOff>
      <xdr:row>56</xdr:row>
      <xdr:rowOff>47601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9">
          <xdr14:nvContentPartPr>
            <xdr14:cNvPr id="290" name="Ink 289">
              <a:extLst>
                <a:ext uri="{FF2B5EF4-FFF2-40B4-BE49-F238E27FC236}">
                  <a16:creationId xmlns:a16="http://schemas.microsoft.com/office/drawing/2014/main" id="{1702A259-B2F6-33CF-BF2A-EB24692B3B10}"/>
                </a:ext>
              </a:extLst>
            </xdr14:cNvPr>
            <xdr14:cNvContentPartPr/>
          </xdr14:nvContentPartPr>
          <xdr14:nvPr macro=""/>
          <xdr14:xfrm>
            <a:off x="32944888" y="11395916"/>
            <a:ext cx="2570400" cy="529920"/>
          </xdr14:xfrm>
        </xdr:contentPart>
      </mc:Choice>
      <mc:Fallback>
        <xdr:pic>
          <xdr:nvPicPr>
            <xdr:cNvPr id="290" name="Ink 289">
              <a:extLst>
                <a:ext uri="{FF2B5EF4-FFF2-40B4-BE49-F238E27FC236}">
                  <a16:creationId xmlns:a16="http://schemas.microsoft.com/office/drawing/2014/main" id="{1702A259-B2F6-33CF-BF2A-EB24692B3B10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32938768" y="11389796"/>
              <a:ext cx="2582640" cy="542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179033</xdr:colOff>
      <xdr:row>38</xdr:row>
      <xdr:rowOff>10585</xdr:rowOff>
    </xdr:from>
    <xdr:to>
      <xdr:col>67</xdr:col>
      <xdr:colOff>370611</xdr:colOff>
      <xdr:row>42</xdr:row>
      <xdr:rowOff>134037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1">
          <xdr14:nvContentPartPr>
            <xdr14:cNvPr id="293" name="Ink 292">
              <a:extLst>
                <a:ext uri="{FF2B5EF4-FFF2-40B4-BE49-F238E27FC236}">
                  <a16:creationId xmlns:a16="http://schemas.microsoft.com/office/drawing/2014/main" id="{61DF31A2-55CD-25F2-6504-247E9199AC88}"/>
                </a:ext>
              </a:extLst>
            </xdr14:cNvPr>
            <xdr14:cNvContentPartPr/>
          </xdr14:nvContentPartPr>
          <xdr14:nvPr macro=""/>
          <xdr14:xfrm>
            <a:off x="37546341" y="8121489"/>
            <a:ext cx="4448520" cy="914760"/>
          </xdr14:xfrm>
        </xdr:contentPart>
      </mc:Choice>
      <mc:Fallback>
        <xdr:pic>
          <xdr:nvPicPr>
            <xdr:cNvPr id="293" name="Ink 292">
              <a:extLst>
                <a:ext uri="{FF2B5EF4-FFF2-40B4-BE49-F238E27FC236}">
                  <a16:creationId xmlns:a16="http://schemas.microsoft.com/office/drawing/2014/main" id="{61DF31A2-55CD-25F2-6504-247E9199AC88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37540192" y="8115473"/>
              <a:ext cx="4460818" cy="92679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580023</xdr:colOff>
      <xdr:row>39</xdr:row>
      <xdr:rowOff>102217</xdr:rowOff>
    </xdr:from>
    <xdr:to>
      <xdr:col>58</xdr:col>
      <xdr:colOff>128670</xdr:colOff>
      <xdr:row>43</xdr:row>
      <xdr:rowOff>180366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3">
          <xdr14:nvContentPartPr>
            <xdr14:cNvPr id="307" name="Ink 306">
              <a:extLst>
                <a:ext uri="{FF2B5EF4-FFF2-40B4-BE49-F238E27FC236}">
                  <a16:creationId xmlns:a16="http://schemas.microsoft.com/office/drawing/2014/main" id="{A6890278-DB35-EDAA-366C-A043C7C3CB4F}"/>
                </a:ext>
              </a:extLst>
            </xdr14:cNvPr>
            <xdr14:cNvContentPartPr/>
          </xdr14:nvContentPartPr>
          <xdr14:nvPr macro=""/>
          <xdr14:xfrm>
            <a:off x="32840465" y="8410948"/>
            <a:ext cx="3439243" cy="869456"/>
          </xdr14:xfrm>
        </xdr:contentPart>
      </mc:Choice>
      <mc:Fallback>
        <xdr:pic>
          <xdr:nvPicPr>
            <xdr:cNvPr id="307" name="Ink 306">
              <a:extLst>
                <a:ext uri="{FF2B5EF4-FFF2-40B4-BE49-F238E27FC236}">
                  <a16:creationId xmlns:a16="http://schemas.microsoft.com/office/drawing/2014/main" id="{A6890278-DB35-EDAA-366C-A043C7C3CB4F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32834322" y="8404937"/>
              <a:ext cx="3451530" cy="88147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55</xdr:col>
      <xdr:colOff>80210</xdr:colOff>
      <xdr:row>42</xdr:row>
      <xdr:rowOff>109936</xdr:rowOff>
    </xdr:from>
    <xdr:to>
      <xdr:col>55</xdr:col>
      <xdr:colOff>344090</xdr:colOff>
      <xdr:row>42</xdr:row>
      <xdr:rowOff>139096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5">
          <xdr14:nvContentPartPr>
            <xdr14:cNvPr id="308" name="Ink 307">
              <a:extLst>
                <a:ext uri="{FF2B5EF4-FFF2-40B4-BE49-F238E27FC236}">
                  <a16:creationId xmlns:a16="http://schemas.microsoft.com/office/drawing/2014/main" id="{354AE519-0CFC-B2C1-7D67-B7C2581ECBD0}"/>
                </a:ext>
              </a:extLst>
            </xdr14:cNvPr>
            <xdr14:cNvContentPartPr/>
          </xdr14:nvContentPartPr>
          <xdr14:nvPr macro=""/>
          <xdr14:xfrm>
            <a:off x="34406845" y="9012148"/>
            <a:ext cx="263880" cy="29160"/>
          </xdr14:xfrm>
        </xdr:contentPart>
      </mc:Choice>
      <mc:Fallback>
        <xdr:pic>
          <xdr:nvPicPr>
            <xdr:cNvPr id="308" name="Ink 307">
              <a:extLst>
                <a:ext uri="{FF2B5EF4-FFF2-40B4-BE49-F238E27FC236}">
                  <a16:creationId xmlns:a16="http://schemas.microsoft.com/office/drawing/2014/main" id="{354AE519-0CFC-B2C1-7D67-B7C2581ECBD0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34400725" y="9006028"/>
              <a:ext cx="276120" cy="4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239293</xdr:colOff>
      <xdr:row>40</xdr:row>
      <xdr:rowOff>72510</xdr:rowOff>
    </xdr:from>
    <xdr:to>
      <xdr:col>63</xdr:col>
      <xdr:colOff>594253</xdr:colOff>
      <xdr:row>42</xdr:row>
      <xdr:rowOff>195616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7">
          <xdr14:nvContentPartPr>
            <xdr14:cNvPr id="309" name="Ink 308">
              <a:extLst>
                <a:ext uri="{FF2B5EF4-FFF2-40B4-BE49-F238E27FC236}">
                  <a16:creationId xmlns:a16="http://schemas.microsoft.com/office/drawing/2014/main" id="{190AB0AB-FAA9-C0E5-1AD0-0B82E06ACBFE}"/>
                </a:ext>
              </a:extLst>
            </xdr14:cNvPr>
            <xdr14:cNvContentPartPr/>
          </xdr14:nvContentPartPr>
          <xdr14:nvPr macro=""/>
          <xdr14:xfrm>
            <a:off x="39431005" y="8579068"/>
            <a:ext cx="354960" cy="518760"/>
          </xdr14:xfrm>
        </xdr:contentPart>
      </mc:Choice>
      <mc:Fallback>
        <xdr:pic>
          <xdr:nvPicPr>
            <xdr:cNvPr id="309" name="Ink 308">
              <a:extLst>
                <a:ext uri="{FF2B5EF4-FFF2-40B4-BE49-F238E27FC236}">
                  <a16:creationId xmlns:a16="http://schemas.microsoft.com/office/drawing/2014/main" id="{190AB0AB-FAA9-C0E5-1AD0-0B82E06ACBFE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39424885" y="8573177"/>
              <a:ext cx="367200" cy="53054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536214</xdr:colOff>
      <xdr:row>45</xdr:row>
      <xdr:rowOff>155109</xdr:rowOff>
    </xdr:from>
    <xdr:to>
      <xdr:col>65</xdr:col>
      <xdr:colOff>116268</xdr:colOff>
      <xdr:row>48</xdr:row>
      <xdr:rowOff>27651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9">
          <xdr14:nvContentPartPr>
            <xdr14:cNvPr id="320" name="Ink 319">
              <a:extLst>
                <a:ext uri="{FF2B5EF4-FFF2-40B4-BE49-F238E27FC236}">
                  <a16:creationId xmlns:a16="http://schemas.microsoft.com/office/drawing/2014/main" id="{9F98BE05-DF10-95BC-427F-CEADF783BB72}"/>
                </a:ext>
              </a:extLst>
            </xdr14:cNvPr>
            <xdr14:cNvContentPartPr/>
          </xdr14:nvContentPartPr>
          <xdr14:nvPr macro=""/>
          <xdr14:xfrm>
            <a:off x="38099806" y="9760320"/>
            <a:ext cx="2638080" cy="474120"/>
          </xdr14:xfrm>
        </xdr:contentPart>
      </mc:Choice>
      <mc:Fallback>
        <xdr:pic>
          <xdr:nvPicPr>
            <xdr:cNvPr id="320" name="Ink 319">
              <a:extLst>
                <a:ext uri="{FF2B5EF4-FFF2-40B4-BE49-F238E27FC236}">
                  <a16:creationId xmlns:a16="http://schemas.microsoft.com/office/drawing/2014/main" id="{9F98BE05-DF10-95BC-427F-CEADF783BB72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38093610" y="9754246"/>
              <a:ext cx="2650472" cy="48626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215268</xdr:colOff>
      <xdr:row>47</xdr:row>
      <xdr:rowOff>8937</xdr:rowOff>
    </xdr:from>
    <xdr:to>
      <xdr:col>66</xdr:col>
      <xdr:colOff>364342</xdr:colOff>
      <xdr:row>48</xdr:row>
      <xdr:rowOff>40971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1">
          <xdr14:nvContentPartPr>
            <xdr14:cNvPr id="323" name="Ink 322">
              <a:extLst>
                <a:ext uri="{FF2B5EF4-FFF2-40B4-BE49-F238E27FC236}">
                  <a16:creationId xmlns:a16="http://schemas.microsoft.com/office/drawing/2014/main" id="{EFBF6E7F-45C0-4D6E-EAFF-1FB6990EC742}"/>
                </a:ext>
              </a:extLst>
            </xdr14:cNvPr>
            <xdr14:cNvContentPartPr/>
          </xdr14:nvContentPartPr>
          <xdr14:nvPr macro=""/>
          <xdr14:xfrm>
            <a:off x="40836886" y="10015200"/>
            <a:ext cx="760680" cy="232560"/>
          </xdr14:xfrm>
        </xdr:contentPart>
      </mc:Choice>
      <mc:Fallback>
        <xdr:pic>
          <xdr:nvPicPr>
            <xdr:cNvPr id="323" name="Ink 322">
              <a:extLst>
                <a:ext uri="{FF2B5EF4-FFF2-40B4-BE49-F238E27FC236}">
                  <a16:creationId xmlns:a16="http://schemas.microsoft.com/office/drawing/2014/main" id="{EFBF6E7F-45C0-4D6E-EAFF-1FB6990EC742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40830766" y="10009089"/>
              <a:ext cx="772920" cy="2447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31873</xdr:colOff>
      <xdr:row>3</xdr:row>
      <xdr:rowOff>75780</xdr:rowOff>
    </xdr:from>
    <xdr:to>
      <xdr:col>19</xdr:col>
      <xdr:colOff>502873</xdr:colOff>
      <xdr:row>65</xdr:row>
      <xdr:rowOff>67860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3">
          <xdr14:nvContentPartPr>
            <xdr14:cNvPr id="336" name="Ink 335">
              <a:extLst>
                <a:ext uri="{FF2B5EF4-FFF2-40B4-BE49-F238E27FC236}">
                  <a16:creationId xmlns:a16="http://schemas.microsoft.com/office/drawing/2014/main" id="{942DD248-6DC2-9A0E-509F-0C9628681808}"/>
                </a:ext>
              </a:extLst>
            </xdr14:cNvPr>
            <xdr14:cNvContentPartPr/>
          </xdr14:nvContentPartPr>
          <xdr14:nvPr macro=""/>
          <xdr14:xfrm>
            <a:off x="10395073" y="856830"/>
            <a:ext cx="1690200" cy="12793680"/>
          </xdr14:xfrm>
        </xdr:contentPart>
      </mc:Choice>
      <mc:Fallback>
        <xdr:pic>
          <xdr:nvPicPr>
            <xdr:cNvPr id="336" name="Ink 335">
              <a:extLst>
                <a:ext uri="{FF2B5EF4-FFF2-40B4-BE49-F238E27FC236}">
                  <a16:creationId xmlns:a16="http://schemas.microsoft.com/office/drawing/2014/main" id="{942DD248-6DC2-9A0E-509F-0C9628681808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10388922" y="850761"/>
              <a:ext cx="1702503" cy="1280581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215319</xdr:colOff>
      <xdr:row>3</xdr:row>
      <xdr:rowOff>162947</xdr:rowOff>
    </xdr:from>
    <xdr:to>
      <xdr:col>2</xdr:col>
      <xdr:colOff>590837</xdr:colOff>
      <xdr:row>45</xdr:row>
      <xdr:rowOff>87047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5">
          <xdr14:nvContentPartPr>
            <xdr14:cNvPr id="351" name="Ink 350">
              <a:extLst>
                <a:ext uri="{FF2B5EF4-FFF2-40B4-BE49-F238E27FC236}">
                  <a16:creationId xmlns:a16="http://schemas.microsoft.com/office/drawing/2014/main" id="{A0CC72A0-948E-85A3-0AFD-1BEDF66960E0}"/>
                </a:ext>
              </a:extLst>
            </xdr14:cNvPr>
            <xdr14:cNvContentPartPr/>
          </xdr14:nvContentPartPr>
          <xdr14:nvPr macro=""/>
          <xdr14:xfrm>
            <a:off x="827640" y="952161"/>
            <a:ext cx="987840" cy="8877600"/>
          </xdr14:xfrm>
        </xdr:contentPart>
      </mc:Choice>
      <mc:Fallback>
        <xdr:pic>
          <xdr:nvPicPr>
            <xdr:cNvPr id="351" name="Ink 350">
              <a:extLst>
                <a:ext uri="{FF2B5EF4-FFF2-40B4-BE49-F238E27FC236}">
                  <a16:creationId xmlns:a16="http://schemas.microsoft.com/office/drawing/2014/main" id="{A0CC72A0-948E-85A3-0AFD-1BEDF66960E0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821475" y="945987"/>
              <a:ext cx="1000170" cy="888994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108270</xdr:colOff>
      <xdr:row>42</xdr:row>
      <xdr:rowOff>135750</xdr:rowOff>
    </xdr:from>
    <xdr:to>
      <xdr:col>18</xdr:col>
      <xdr:colOff>111214</xdr:colOff>
      <xdr:row>55</xdr:row>
      <xdr:rowOff>3919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7">
          <xdr14:nvContentPartPr>
            <xdr14:cNvPr id="354" name="Ink 353">
              <a:extLst>
                <a:ext uri="{FF2B5EF4-FFF2-40B4-BE49-F238E27FC236}">
                  <a16:creationId xmlns:a16="http://schemas.microsoft.com/office/drawing/2014/main" id="{E57BE826-411A-D3E0-3BFB-AF284F4F36E3}"/>
                </a:ext>
              </a:extLst>
            </xdr14:cNvPr>
            <xdr14:cNvContentPartPr/>
          </xdr14:nvContentPartPr>
          <xdr14:nvPr macro=""/>
          <xdr14:xfrm>
            <a:off x="4394520" y="9266143"/>
            <a:ext cx="6738480" cy="2517480"/>
          </xdr14:xfrm>
        </xdr:contentPart>
      </mc:Choice>
      <mc:Fallback>
        <xdr:pic>
          <xdr:nvPicPr>
            <xdr:cNvPr id="354" name="Ink 353">
              <a:extLst>
                <a:ext uri="{FF2B5EF4-FFF2-40B4-BE49-F238E27FC236}">
                  <a16:creationId xmlns:a16="http://schemas.microsoft.com/office/drawing/2014/main" id="{E57BE826-411A-D3E0-3BFB-AF284F4F36E3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4388327" y="9259957"/>
              <a:ext cx="6750866" cy="252985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104400</xdr:colOff>
      <xdr:row>1</xdr:row>
      <xdr:rowOff>47100</xdr:rowOff>
    </xdr:from>
    <xdr:to>
      <xdr:col>0</xdr:col>
      <xdr:colOff>433080</xdr:colOff>
      <xdr:row>2</xdr:row>
      <xdr:rowOff>67560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10D38280-C313-0491-AE5F-3B3D28B1D5FB}"/>
                </a:ext>
              </a:extLst>
            </xdr14:cNvPr>
            <xdr14:cNvContentPartPr/>
          </xdr14:nvContentPartPr>
          <xdr14:nvPr macro=""/>
          <xdr14:xfrm>
            <a:off x="104400" y="237600"/>
            <a:ext cx="328680" cy="21096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10D38280-C313-0491-AE5F-3B3D28B1D5F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8280" y="231480"/>
              <a:ext cx="340920" cy="223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504000</xdr:colOff>
      <xdr:row>1</xdr:row>
      <xdr:rowOff>85260</xdr:rowOff>
    </xdr:from>
    <xdr:to>
      <xdr:col>1</xdr:col>
      <xdr:colOff>49200</xdr:colOff>
      <xdr:row>2</xdr:row>
      <xdr:rowOff>330360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1C4329CD-7FB2-0830-355B-F4B494317268}"/>
                </a:ext>
              </a:extLst>
            </xdr14:cNvPr>
            <xdr14:cNvContentPartPr/>
          </xdr14:nvContentPartPr>
          <xdr14:nvPr macro=""/>
          <xdr14:xfrm>
            <a:off x="504000" y="275760"/>
            <a:ext cx="154800" cy="43560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1C4329CD-7FB2-0830-355B-F4B494317268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497880" y="269640"/>
              <a:ext cx="167040" cy="447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142650</xdr:colOff>
      <xdr:row>14</xdr:row>
      <xdr:rowOff>85260</xdr:rowOff>
    </xdr:from>
    <xdr:to>
      <xdr:col>15</xdr:col>
      <xdr:colOff>494370</xdr:colOff>
      <xdr:row>15</xdr:row>
      <xdr:rowOff>132660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63" name="Ink 62">
              <a:extLst>
                <a:ext uri="{FF2B5EF4-FFF2-40B4-BE49-F238E27FC236}">
                  <a16:creationId xmlns:a16="http://schemas.microsoft.com/office/drawing/2014/main" id="{C65AC6BB-9388-9470-6687-90A8145ABDBE}"/>
                </a:ext>
              </a:extLst>
            </xdr14:cNvPr>
            <xdr14:cNvContentPartPr/>
          </xdr14:nvContentPartPr>
          <xdr14:nvPr macro=""/>
          <xdr14:xfrm>
            <a:off x="9343800" y="3018960"/>
            <a:ext cx="351720" cy="428400"/>
          </xdr14:xfrm>
        </xdr:contentPart>
      </mc:Choice>
      <mc:Fallback>
        <xdr:pic>
          <xdr:nvPicPr>
            <xdr:cNvPr id="63" name="Ink 62">
              <a:extLst>
                <a:ext uri="{FF2B5EF4-FFF2-40B4-BE49-F238E27FC236}">
                  <a16:creationId xmlns:a16="http://schemas.microsoft.com/office/drawing/2014/main" id="{C65AC6BB-9388-9470-6687-90A8145ABDBE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9337680" y="3012840"/>
              <a:ext cx="363960" cy="440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18690</xdr:colOff>
      <xdr:row>29</xdr:row>
      <xdr:rowOff>161280</xdr:rowOff>
    </xdr:from>
    <xdr:to>
      <xdr:col>17</xdr:col>
      <xdr:colOff>343290</xdr:colOff>
      <xdr:row>31</xdr:row>
      <xdr:rowOff>48150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145" name="Ink 144">
              <a:extLst>
                <a:ext uri="{FF2B5EF4-FFF2-40B4-BE49-F238E27FC236}">
                  <a16:creationId xmlns:a16="http://schemas.microsoft.com/office/drawing/2014/main" id="{43F4B4EC-0E5E-881E-F379-4D875335A143}"/>
                </a:ext>
              </a:extLst>
            </xdr14:cNvPr>
            <xdr14:cNvContentPartPr/>
          </xdr14:nvContentPartPr>
          <xdr14:nvPr macro=""/>
          <xdr14:xfrm>
            <a:off x="9829440" y="6695430"/>
            <a:ext cx="934200" cy="286920"/>
          </xdr14:xfrm>
        </xdr:contentPart>
      </mc:Choice>
      <mc:Fallback>
        <xdr:pic>
          <xdr:nvPicPr>
            <xdr:cNvPr id="145" name="Ink 144">
              <a:extLst>
                <a:ext uri="{FF2B5EF4-FFF2-40B4-BE49-F238E27FC236}">
                  <a16:creationId xmlns:a16="http://schemas.microsoft.com/office/drawing/2014/main" id="{43F4B4EC-0E5E-881E-F379-4D875335A143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9823322" y="6689310"/>
              <a:ext cx="946435" cy="299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9090</xdr:colOff>
      <xdr:row>27</xdr:row>
      <xdr:rowOff>75720</xdr:rowOff>
    </xdr:from>
    <xdr:to>
      <xdr:col>22</xdr:col>
      <xdr:colOff>172725</xdr:colOff>
      <xdr:row>29</xdr:row>
      <xdr:rowOff>181830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168" name="Ink 167">
              <a:extLst>
                <a:ext uri="{FF2B5EF4-FFF2-40B4-BE49-F238E27FC236}">
                  <a16:creationId xmlns:a16="http://schemas.microsoft.com/office/drawing/2014/main" id="{C39FB93C-59F3-EDBE-6E9A-A7B0D88CF588}"/>
                </a:ext>
              </a:extLst>
            </xdr14:cNvPr>
            <xdr14:cNvContentPartPr/>
          </xdr14:nvContentPartPr>
          <xdr14:nvPr macro=""/>
          <xdr14:xfrm>
            <a:off x="12258240" y="6209820"/>
            <a:ext cx="1544760" cy="506160"/>
          </xdr14:xfrm>
        </xdr:contentPart>
      </mc:Choice>
      <mc:Fallback>
        <xdr:pic>
          <xdr:nvPicPr>
            <xdr:cNvPr id="168" name="Ink 167">
              <a:extLst>
                <a:ext uri="{FF2B5EF4-FFF2-40B4-BE49-F238E27FC236}">
                  <a16:creationId xmlns:a16="http://schemas.microsoft.com/office/drawing/2014/main" id="{C39FB93C-59F3-EDBE-6E9A-A7B0D88CF588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2252120" y="6203700"/>
              <a:ext cx="1557000" cy="51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533085</xdr:colOff>
      <xdr:row>12</xdr:row>
      <xdr:rowOff>118290</xdr:rowOff>
    </xdr:from>
    <xdr:to>
      <xdr:col>19</xdr:col>
      <xdr:colOff>517845</xdr:colOff>
      <xdr:row>14</xdr:row>
      <xdr:rowOff>190200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73" name="Ink 172">
              <a:extLst>
                <a:ext uri="{FF2B5EF4-FFF2-40B4-BE49-F238E27FC236}">
                  <a16:creationId xmlns:a16="http://schemas.microsoft.com/office/drawing/2014/main" id="{37E8B93D-8D1B-782C-8B90-88293A80B522}"/>
                </a:ext>
              </a:extLst>
            </xdr14:cNvPr>
            <xdr14:cNvContentPartPr/>
          </xdr14:nvContentPartPr>
          <xdr14:nvPr macro=""/>
          <xdr14:xfrm>
            <a:off x="11563035" y="2651940"/>
            <a:ext cx="594360" cy="471960"/>
          </xdr14:xfrm>
        </xdr:contentPart>
      </mc:Choice>
      <mc:Fallback>
        <xdr:pic>
          <xdr:nvPicPr>
            <xdr:cNvPr id="173" name="Ink 172">
              <a:extLst>
                <a:ext uri="{FF2B5EF4-FFF2-40B4-BE49-F238E27FC236}">
                  <a16:creationId xmlns:a16="http://schemas.microsoft.com/office/drawing/2014/main" id="{37E8B93D-8D1B-782C-8B90-88293A80B522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1556915" y="2645820"/>
              <a:ext cx="606600" cy="48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38100</xdr:colOff>
      <xdr:row>1</xdr:row>
      <xdr:rowOff>19050</xdr:rowOff>
    </xdr:from>
    <xdr:to>
      <xdr:col>30</xdr:col>
      <xdr:colOff>364537</xdr:colOff>
      <xdr:row>7</xdr:row>
      <xdr:rowOff>162086</xdr:rowOff>
    </xdr:to>
    <xdr:pic>
      <xdr:nvPicPr>
        <xdr:cNvPr id="174" name="Picture 173">
          <a:extLst>
            <a:ext uri="{FF2B5EF4-FFF2-40B4-BE49-F238E27FC236}">
              <a16:creationId xmlns:a16="http://schemas.microsoft.com/office/drawing/2014/main" id="{69431CDB-4FE8-A63B-3057-684E33289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106775" y="209550"/>
          <a:ext cx="2812462" cy="1486061"/>
        </a:xfrm>
        <a:prstGeom prst="rect">
          <a:avLst/>
        </a:prstGeom>
      </xdr:spPr>
    </xdr:pic>
    <xdr:clientData/>
  </xdr:twoCellAnchor>
  <xdr:twoCellAnchor editAs="oneCell">
    <xdr:from>
      <xdr:col>28</xdr:col>
      <xdr:colOff>266475</xdr:colOff>
      <xdr:row>4</xdr:row>
      <xdr:rowOff>150240</xdr:rowOff>
    </xdr:from>
    <xdr:to>
      <xdr:col>29</xdr:col>
      <xdr:colOff>611235</xdr:colOff>
      <xdr:row>7</xdr:row>
      <xdr:rowOff>59535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">
          <xdr14:nvContentPartPr>
            <xdr14:cNvPr id="182" name="Ink 181">
              <a:extLst>
                <a:ext uri="{FF2B5EF4-FFF2-40B4-BE49-F238E27FC236}">
                  <a16:creationId xmlns:a16="http://schemas.microsoft.com/office/drawing/2014/main" id="{31E3F2B3-9D78-3779-5760-7F3DB0B9EE9E}"/>
                </a:ext>
              </a:extLst>
            </xdr14:cNvPr>
            <xdr14:cNvContentPartPr/>
          </xdr14:nvContentPartPr>
          <xdr14:nvPr macro=""/>
          <xdr14:xfrm>
            <a:off x="17554350" y="1102740"/>
            <a:ext cx="954360" cy="490320"/>
          </xdr14:xfrm>
        </xdr:contentPart>
      </mc:Choice>
      <mc:Fallback>
        <xdr:pic>
          <xdr:nvPicPr>
            <xdr:cNvPr id="182" name="Ink 181">
              <a:extLst>
                <a:ext uri="{FF2B5EF4-FFF2-40B4-BE49-F238E27FC236}">
                  <a16:creationId xmlns:a16="http://schemas.microsoft.com/office/drawing/2014/main" id="{31E3F2B3-9D78-3779-5760-7F3DB0B9EE9E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17548230" y="1096620"/>
              <a:ext cx="966600" cy="502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35</xdr:col>
      <xdr:colOff>590205</xdr:colOff>
      <xdr:row>5</xdr:row>
      <xdr:rowOff>47160</xdr:rowOff>
    </xdr:from>
    <xdr:to>
      <xdr:col>35</xdr:col>
      <xdr:colOff>590565</xdr:colOff>
      <xdr:row>5</xdr:row>
      <xdr:rowOff>189360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">
          <xdr14:nvContentPartPr>
            <xdr14:cNvPr id="189" name="Ink 188">
              <a:extLst>
                <a:ext uri="{FF2B5EF4-FFF2-40B4-BE49-F238E27FC236}">
                  <a16:creationId xmlns:a16="http://schemas.microsoft.com/office/drawing/2014/main" id="{C1692558-0E70-A360-4DDC-EE940A55549C}"/>
                </a:ext>
              </a:extLst>
            </xdr14:cNvPr>
            <xdr14:cNvContentPartPr/>
          </xdr14:nvContentPartPr>
          <xdr14:nvPr macro=""/>
          <xdr14:xfrm>
            <a:off x="22145280" y="1190160"/>
            <a:ext cx="360" cy="142200"/>
          </xdr14:xfrm>
        </xdr:contentPart>
      </mc:Choice>
      <mc:Fallback>
        <xdr:pic>
          <xdr:nvPicPr>
            <xdr:cNvPr id="189" name="Ink 188">
              <a:extLst>
                <a:ext uri="{FF2B5EF4-FFF2-40B4-BE49-F238E27FC236}">
                  <a16:creationId xmlns:a16="http://schemas.microsoft.com/office/drawing/2014/main" id="{C1692558-0E70-A360-4DDC-EE940A55549C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22139160" y="1184040"/>
              <a:ext cx="12600" cy="15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36</xdr:col>
      <xdr:colOff>4725</xdr:colOff>
      <xdr:row>4</xdr:row>
      <xdr:rowOff>123180</xdr:rowOff>
    </xdr:from>
    <xdr:to>
      <xdr:col>36</xdr:col>
      <xdr:colOff>24885</xdr:colOff>
      <xdr:row>4</xdr:row>
      <xdr:rowOff>138300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">
          <xdr14:nvContentPartPr>
            <xdr14:cNvPr id="190" name="Ink 189">
              <a:extLst>
                <a:ext uri="{FF2B5EF4-FFF2-40B4-BE49-F238E27FC236}">
                  <a16:creationId xmlns:a16="http://schemas.microsoft.com/office/drawing/2014/main" id="{38DE53ED-B98C-3DED-6A00-D51FA6334087}"/>
                </a:ext>
              </a:extLst>
            </xdr14:cNvPr>
            <xdr14:cNvContentPartPr/>
          </xdr14:nvContentPartPr>
          <xdr14:nvPr macro=""/>
          <xdr14:xfrm>
            <a:off x="22169400" y="1075680"/>
            <a:ext cx="20160" cy="15120"/>
          </xdr14:xfrm>
        </xdr:contentPart>
      </mc:Choice>
      <mc:Fallback>
        <xdr:pic>
          <xdr:nvPicPr>
            <xdr:cNvPr id="190" name="Ink 189">
              <a:extLst>
                <a:ext uri="{FF2B5EF4-FFF2-40B4-BE49-F238E27FC236}">
                  <a16:creationId xmlns:a16="http://schemas.microsoft.com/office/drawing/2014/main" id="{38DE53ED-B98C-3DED-6A00-D51FA6334087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22163280" y="1069560"/>
              <a:ext cx="32400" cy="27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37</xdr:col>
      <xdr:colOff>572325</xdr:colOff>
      <xdr:row>3</xdr:row>
      <xdr:rowOff>47280</xdr:rowOff>
    </xdr:from>
    <xdr:to>
      <xdr:col>38</xdr:col>
      <xdr:colOff>171525</xdr:colOff>
      <xdr:row>4</xdr:row>
      <xdr:rowOff>31380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">
          <xdr14:nvContentPartPr>
            <xdr14:cNvPr id="198" name="Ink 197">
              <a:extLst>
                <a:ext uri="{FF2B5EF4-FFF2-40B4-BE49-F238E27FC236}">
                  <a16:creationId xmlns:a16="http://schemas.microsoft.com/office/drawing/2014/main" id="{E9D7F339-D8BE-7CED-58F2-9E13F0212662}"/>
                </a:ext>
              </a:extLst>
            </xdr14:cNvPr>
            <xdr14:cNvContentPartPr/>
          </xdr14:nvContentPartPr>
          <xdr14:nvPr macro=""/>
          <xdr14:xfrm>
            <a:off x="23346600" y="809280"/>
            <a:ext cx="208800" cy="174600"/>
          </xdr14:xfrm>
        </xdr:contentPart>
      </mc:Choice>
      <mc:Fallback>
        <xdr:pic>
          <xdr:nvPicPr>
            <xdr:cNvPr id="198" name="Ink 197">
              <a:extLst>
                <a:ext uri="{FF2B5EF4-FFF2-40B4-BE49-F238E27FC236}">
                  <a16:creationId xmlns:a16="http://schemas.microsoft.com/office/drawing/2014/main" id="{E9D7F339-D8BE-7CED-58F2-9E13F0212662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23340480" y="803160"/>
              <a:ext cx="221040" cy="18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37</xdr:col>
      <xdr:colOff>16485</xdr:colOff>
      <xdr:row>3</xdr:row>
      <xdr:rowOff>85080</xdr:rowOff>
    </xdr:from>
    <xdr:to>
      <xdr:col>37</xdr:col>
      <xdr:colOff>295485</xdr:colOff>
      <xdr:row>4</xdr:row>
      <xdr:rowOff>170700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">
          <xdr14:nvContentPartPr>
            <xdr14:cNvPr id="199" name="Ink 198">
              <a:extLst>
                <a:ext uri="{FF2B5EF4-FFF2-40B4-BE49-F238E27FC236}">
                  <a16:creationId xmlns:a16="http://schemas.microsoft.com/office/drawing/2014/main" id="{0575A9BC-1702-0500-7487-312519144F4A}"/>
                </a:ext>
              </a:extLst>
            </xdr14:cNvPr>
            <xdr14:cNvContentPartPr/>
          </xdr14:nvContentPartPr>
          <xdr14:nvPr macro=""/>
          <xdr14:xfrm>
            <a:off x="22790760" y="847080"/>
            <a:ext cx="279000" cy="276120"/>
          </xdr14:xfrm>
        </xdr:contentPart>
      </mc:Choice>
      <mc:Fallback>
        <xdr:pic>
          <xdr:nvPicPr>
            <xdr:cNvPr id="199" name="Ink 198">
              <a:extLst>
                <a:ext uri="{FF2B5EF4-FFF2-40B4-BE49-F238E27FC236}">
                  <a16:creationId xmlns:a16="http://schemas.microsoft.com/office/drawing/2014/main" id="{0575A9BC-1702-0500-7487-312519144F4A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22784640" y="840960"/>
              <a:ext cx="291240" cy="288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36</xdr:col>
      <xdr:colOff>266445</xdr:colOff>
      <xdr:row>3</xdr:row>
      <xdr:rowOff>161400</xdr:rowOff>
    </xdr:from>
    <xdr:to>
      <xdr:col>36</xdr:col>
      <xdr:colOff>370485</xdr:colOff>
      <xdr:row>4</xdr:row>
      <xdr:rowOff>47580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">
          <xdr14:nvContentPartPr>
            <xdr14:cNvPr id="200" name="Ink 199">
              <a:extLst>
                <a:ext uri="{FF2B5EF4-FFF2-40B4-BE49-F238E27FC236}">
                  <a16:creationId xmlns:a16="http://schemas.microsoft.com/office/drawing/2014/main" id="{40BDF9BB-D2D6-E649-628A-12B63E9E2ADD}"/>
                </a:ext>
              </a:extLst>
            </xdr14:cNvPr>
            <xdr14:cNvContentPartPr/>
          </xdr14:nvContentPartPr>
          <xdr14:nvPr macro=""/>
          <xdr14:xfrm>
            <a:off x="22431120" y="923400"/>
            <a:ext cx="104040" cy="76680"/>
          </xdr14:xfrm>
        </xdr:contentPart>
      </mc:Choice>
      <mc:Fallback>
        <xdr:pic>
          <xdr:nvPicPr>
            <xdr:cNvPr id="200" name="Ink 199">
              <a:extLst>
                <a:ext uri="{FF2B5EF4-FFF2-40B4-BE49-F238E27FC236}">
                  <a16:creationId xmlns:a16="http://schemas.microsoft.com/office/drawing/2014/main" id="{40BDF9BB-D2D6-E649-628A-12B63E9E2ADD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22425000" y="917280"/>
              <a:ext cx="116280" cy="8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34</xdr:col>
      <xdr:colOff>514005</xdr:colOff>
      <xdr:row>3</xdr:row>
      <xdr:rowOff>37560</xdr:rowOff>
    </xdr:from>
    <xdr:to>
      <xdr:col>35</xdr:col>
      <xdr:colOff>449445</xdr:colOff>
      <xdr:row>5</xdr:row>
      <xdr:rowOff>37080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">
          <xdr14:nvContentPartPr>
            <xdr14:cNvPr id="201" name="Ink 200">
              <a:extLst>
                <a:ext uri="{FF2B5EF4-FFF2-40B4-BE49-F238E27FC236}">
                  <a16:creationId xmlns:a16="http://schemas.microsoft.com/office/drawing/2014/main" id="{50E32849-E58D-79A8-3BD2-B629062BF9C4}"/>
                </a:ext>
              </a:extLst>
            </xdr14:cNvPr>
            <xdr14:cNvContentPartPr/>
          </xdr14:nvContentPartPr>
          <xdr14:nvPr macro=""/>
          <xdr14:xfrm>
            <a:off x="21459480" y="799560"/>
            <a:ext cx="545040" cy="380520"/>
          </xdr14:xfrm>
        </xdr:contentPart>
      </mc:Choice>
      <mc:Fallback>
        <xdr:pic>
          <xdr:nvPicPr>
            <xdr:cNvPr id="201" name="Ink 200">
              <a:extLst>
                <a:ext uri="{FF2B5EF4-FFF2-40B4-BE49-F238E27FC236}">
                  <a16:creationId xmlns:a16="http://schemas.microsoft.com/office/drawing/2014/main" id="{50E32849-E58D-79A8-3BD2-B629062BF9C4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21453360" y="793440"/>
              <a:ext cx="557280" cy="39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38</xdr:col>
      <xdr:colOff>370965</xdr:colOff>
      <xdr:row>3</xdr:row>
      <xdr:rowOff>123240</xdr:rowOff>
    </xdr:from>
    <xdr:to>
      <xdr:col>39</xdr:col>
      <xdr:colOff>418365</xdr:colOff>
      <xdr:row>3</xdr:row>
      <xdr:rowOff>133680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">
          <xdr14:nvContentPartPr>
            <xdr14:cNvPr id="206" name="Ink 205">
              <a:extLst>
                <a:ext uri="{FF2B5EF4-FFF2-40B4-BE49-F238E27FC236}">
                  <a16:creationId xmlns:a16="http://schemas.microsoft.com/office/drawing/2014/main" id="{87351D4B-D095-DA0A-A037-6BDD7E1C433C}"/>
                </a:ext>
              </a:extLst>
            </xdr14:cNvPr>
            <xdr14:cNvContentPartPr/>
          </xdr14:nvContentPartPr>
          <xdr14:nvPr macro=""/>
          <xdr14:xfrm>
            <a:off x="23754840" y="885240"/>
            <a:ext cx="657000" cy="10440"/>
          </xdr14:xfrm>
        </xdr:contentPart>
      </mc:Choice>
      <mc:Fallback>
        <xdr:pic>
          <xdr:nvPicPr>
            <xdr:cNvPr id="206" name="Ink 205">
              <a:extLst>
                <a:ext uri="{FF2B5EF4-FFF2-40B4-BE49-F238E27FC236}">
                  <a16:creationId xmlns:a16="http://schemas.microsoft.com/office/drawing/2014/main" id="{87351D4B-D095-DA0A-A037-6BDD7E1C433C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23748720" y="879120"/>
              <a:ext cx="669240" cy="22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38</xdr:col>
      <xdr:colOff>485445</xdr:colOff>
      <xdr:row>1</xdr:row>
      <xdr:rowOff>8940</xdr:rowOff>
    </xdr:from>
    <xdr:to>
      <xdr:col>39</xdr:col>
      <xdr:colOff>438165</xdr:colOff>
      <xdr:row>3</xdr:row>
      <xdr:rowOff>3360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0">
          <xdr14:nvContentPartPr>
            <xdr14:cNvPr id="207" name="Ink 206">
              <a:extLst>
                <a:ext uri="{FF2B5EF4-FFF2-40B4-BE49-F238E27FC236}">
                  <a16:creationId xmlns:a16="http://schemas.microsoft.com/office/drawing/2014/main" id="{3B3BCB14-5311-1CD9-5D25-FE6732E9FC07}"/>
                </a:ext>
              </a:extLst>
            </xdr14:cNvPr>
            <xdr14:cNvContentPartPr/>
          </xdr14:nvContentPartPr>
          <xdr14:nvPr macro=""/>
          <xdr14:xfrm>
            <a:off x="23869320" y="199440"/>
            <a:ext cx="562320" cy="565920"/>
          </xdr14:xfrm>
        </xdr:contentPart>
      </mc:Choice>
      <mc:Fallback>
        <xdr:pic>
          <xdr:nvPicPr>
            <xdr:cNvPr id="207" name="Ink 206">
              <a:extLst>
                <a:ext uri="{FF2B5EF4-FFF2-40B4-BE49-F238E27FC236}">
                  <a16:creationId xmlns:a16="http://schemas.microsoft.com/office/drawing/2014/main" id="{3B3BCB14-5311-1CD9-5D25-FE6732E9FC07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23863200" y="193316"/>
              <a:ext cx="574560" cy="57816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38</xdr:col>
      <xdr:colOff>466365</xdr:colOff>
      <xdr:row>4</xdr:row>
      <xdr:rowOff>94740</xdr:rowOff>
    </xdr:from>
    <xdr:to>
      <xdr:col>39</xdr:col>
      <xdr:colOff>490725</xdr:colOff>
      <xdr:row>6</xdr:row>
      <xdr:rowOff>85620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2">
          <xdr14:nvContentPartPr>
            <xdr14:cNvPr id="214" name="Ink 213">
              <a:extLst>
                <a:ext uri="{FF2B5EF4-FFF2-40B4-BE49-F238E27FC236}">
                  <a16:creationId xmlns:a16="http://schemas.microsoft.com/office/drawing/2014/main" id="{EB0D26F2-0BF8-B8BD-C3FB-C1F830CF9A2B}"/>
                </a:ext>
              </a:extLst>
            </xdr14:cNvPr>
            <xdr14:cNvContentPartPr/>
          </xdr14:nvContentPartPr>
          <xdr14:nvPr macro=""/>
          <xdr14:xfrm>
            <a:off x="23850240" y="1047240"/>
            <a:ext cx="633960" cy="371880"/>
          </xdr14:xfrm>
        </xdr:contentPart>
      </mc:Choice>
      <mc:Fallback>
        <xdr:pic>
          <xdr:nvPicPr>
            <xdr:cNvPr id="214" name="Ink 213">
              <a:extLst>
                <a:ext uri="{FF2B5EF4-FFF2-40B4-BE49-F238E27FC236}">
                  <a16:creationId xmlns:a16="http://schemas.microsoft.com/office/drawing/2014/main" id="{EB0D26F2-0BF8-B8BD-C3FB-C1F830CF9A2B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3844120" y="1041114"/>
              <a:ext cx="646200" cy="38413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23</xdr:col>
      <xdr:colOff>85245</xdr:colOff>
      <xdr:row>6</xdr:row>
      <xdr:rowOff>64740</xdr:rowOff>
    </xdr:from>
    <xdr:to>
      <xdr:col>27</xdr:col>
      <xdr:colOff>540525</xdr:colOff>
      <xdr:row>25</xdr:row>
      <xdr:rowOff>180915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4">
          <xdr14:nvContentPartPr>
            <xdr14:cNvPr id="217" name="Ink 216">
              <a:extLst>
                <a:ext uri="{FF2B5EF4-FFF2-40B4-BE49-F238E27FC236}">
                  <a16:creationId xmlns:a16="http://schemas.microsoft.com/office/drawing/2014/main" id="{663D768C-C07B-C44F-3DA9-54DBA65CB2DA}"/>
                </a:ext>
              </a:extLst>
            </xdr14:cNvPr>
            <xdr14:cNvContentPartPr/>
          </xdr14:nvContentPartPr>
          <xdr14:nvPr macro=""/>
          <xdr14:xfrm>
            <a:off x="14325120" y="1398240"/>
            <a:ext cx="2893680" cy="4278600"/>
          </xdr14:xfrm>
        </xdr:contentPart>
      </mc:Choice>
      <mc:Fallback>
        <xdr:pic>
          <xdr:nvPicPr>
            <xdr:cNvPr id="217" name="Ink 216">
              <a:extLst>
                <a:ext uri="{FF2B5EF4-FFF2-40B4-BE49-F238E27FC236}">
                  <a16:creationId xmlns:a16="http://schemas.microsoft.com/office/drawing/2014/main" id="{663D768C-C07B-C44F-3DA9-54DBA65CB2DA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14319000" y="1392120"/>
              <a:ext cx="2905920" cy="429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180405</xdr:colOff>
      <xdr:row>8</xdr:row>
      <xdr:rowOff>132690</xdr:rowOff>
    </xdr:from>
    <xdr:to>
      <xdr:col>31</xdr:col>
      <xdr:colOff>56700</xdr:colOff>
      <xdr:row>12</xdr:row>
      <xdr:rowOff>154110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6">
          <xdr14:nvContentPartPr>
            <xdr14:cNvPr id="227" name="Ink 226">
              <a:extLst>
                <a:ext uri="{FF2B5EF4-FFF2-40B4-BE49-F238E27FC236}">
                  <a16:creationId xmlns:a16="http://schemas.microsoft.com/office/drawing/2014/main" id="{80782A15-272C-07C8-7102-0FDF6DBB3E9B}"/>
                </a:ext>
              </a:extLst>
            </xdr14:cNvPr>
            <xdr14:cNvContentPartPr/>
          </xdr14:nvContentPartPr>
          <xdr14:nvPr macro=""/>
          <xdr14:xfrm>
            <a:off x="17468280" y="1866240"/>
            <a:ext cx="1905120" cy="821520"/>
          </xdr14:xfrm>
        </xdr:contentPart>
      </mc:Choice>
      <mc:Fallback>
        <xdr:pic>
          <xdr:nvPicPr>
            <xdr:cNvPr id="227" name="Ink 226">
              <a:extLst>
                <a:ext uri="{FF2B5EF4-FFF2-40B4-BE49-F238E27FC236}">
                  <a16:creationId xmlns:a16="http://schemas.microsoft.com/office/drawing/2014/main" id="{80782A15-272C-07C8-7102-0FDF6DBB3E9B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17462160" y="1860120"/>
              <a:ext cx="1917360" cy="833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38</xdr:col>
      <xdr:colOff>275475</xdr:colOff>
      <xdr:row>0</xdr:row>
      <xdr:rowOff>102600</xdr:rowOff>
    </xdr:from>
    <xdr:to>
      <xdr:col>40</xdr:col>
      <xdr:colOff>269115</xdr:colOff>
      <xdr:row>7</xdr:row>
      <xdr:rowOff>96555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8">
          <xdr14:nvContentPartPr>
            <xdr14:cNvPr id="228" name="Ink 227">
              <a:extLst>
                <a:ext uri="{FF2B5EF4-FFF2-40B4-BE49-F238E27FC236}">
                  <a16:creationId xmlns:a16="http://schemas.microsoft.com/office/drawing/2014/main" id="{F21C757F-2941-649B-F0F8-5F62727ED2DB}"/>
                </a:ext>
              </a:extLst>
            </xdr14:cNvPr>
            <xdr14:cNvContentPartPr/>
          </xdr14:nvContentPartPr>
          <xdr14:nvPr macro=""/>
          <xdr14:xfrm>
            <a:off x="24173700" y="102600"/>
            <a:ext cx="1212840" cy="1527480"/>
          </xdr14:xfrm>
        </xdr:contentPart>
      </mc:Choice>
      <mc:Fallback>
        <xdr:pic>
          <xdr:nvPicPr>
            <xdr:cNvPr id="228" name="Ink 227">
              <a:extLst>
                <a:ext uri="{FF2B5EF4-FFF2-40B4-BE49-F238E27FC236}">
                  <a16:creationId xmlns:a16="http://schemas.microsoft.com/office/drawing/2014/main" id="{F21C757F-2941-649B-F0F8-5F62727ED2DB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24167580" y="96480"/>
              <a:ext cx="1225080" cy="1539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27</xdr:col>
      <xdr:colOff>18585</xdr:colOff>
      <xdr:row>6</xdr:row>
      <xdr:rowOff>47100</xdr:rowOff>
    </xdr:from>
    <xdr:to>
      <xdr:col>38</xdr:col>
      <xdr:colOff>190395</xdr:colOff>
      <xdr:row>13</xdr:row>
      <xdr:rowOff>163605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0">
          <xdr14:nvContentPartPr>
            <xdr14:cNvPr id="231" name="Ink 230">
              <a:extLst>
                <a:ext uri="{FF2B5EF4-FFF2-40B4-BE49-F238E27FC236}">
                  <a16:creationId xmlns:a16="http://schemas.microsoft.com/office/drawing/2014/main" id="{648CA626-15B4-5922-B833-71FF1C7F7D44}"/>
                </a:ext>
              </a:extLst>
            </xdr14:cNvPr>
            <xdr14:cNvContentPartPr/>
          </xdr14:nvContentPartPr>
          <xdr14:nvPr macro=""/>
          <xdr14:xfrm>
            <a:off x="16696860" y="1380600"/>
            <a:ext cx="7544160" cy="1516680"/>
          </xdr14:xfrm>
        </xdr:contentPart>
      </mc:Choice>
      <mc:Fallback>
        <xdr:pic>
          <xdr:nvPicPr>
            <xdr:cNvPr id="231" name="Ink 230">
              <a:extLst>
                <a:ext uri="{FF2B5EF4-FFF2-40B4-BE49-F238E27FC236}">
                  <a16:creationId xmlns:a16="http://schemas.microsoft.com/office/drawing/2014/main" id="{648CA626-15B4-5922-B833-71FF1C7F7D44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16690740" y="1374480"/>
              <a:ext cx="7556400" cy="152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27</xdr:col>
      <xdr:colOff>208395</xdr:colOff>
      <xdr:row>20</xdr:row>
      <xdr:rowOff>198315</xdr:rowOff>
    </xdr:from>
    <xdr:to>
      <xdr:col>29</xdr:col>
      <xdr:colOff>162075</xdr:colOff>
      <xdr:row>24</xdr:row>
      <xdr:rowOff>8055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2">
          <xdr14:nvContentPartPr>
            <xdr14:cNvPr id="239" name="Ink 238">
              <a:extLst>
                <a:ext uri="{FF2B5EF4-FFF2-40B4-BE49-F238E27FC236}">
                  <a16:creationId xmlns:a16="http://schemas.microsoft.com/office/drawing/2014/main" id="{00472CDF-9239-8D81-AE50-9661413606A0}"/>
                </a:ext>
              </a:extLst>
            </xdr14:cNvPr>
            <xdr14:cNvContentPartPr/>
          </xdr14:nvContentPartPr>
          <xdr14:nvPr macro=""/>
          <xdr14:xfrm>
            <a:off x="16886670" y="4513140"/>
            <a:ext cx="1172880" cy="609840"/>
          </xdr14:xfrm>
        </xdr:contentPart>
      </mc:Choice>
      <mc:Fallback>
        <xdr:pic>
          <xdr:nvPicPr>
            <xdr:cNvPr id="239" name="Ink 238">
              <a:extLst>
                <a:ext uri="{FF2B5EF4-FFF2-40B4-BE49-F238E27FC236}">
                  <a16:creationId xmlns:a16="http://schemas.microsoft.com/office/drawing/2014/main" id="{00472CDF-9239-8D81-AE50-9661413606A0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16880550" y="4507024"/>
              <a:ext cx="1185120" cy="62207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27</xdr:col>
      <xdr:colOff>228195</xdr:colOff>
      <xdr:row>23</xdr:row>
      <xdr:rowOff>115560</xdr:rowOff>
    </xdr:from>
    <xdr:to>
      <xdr:col>29</xdr:col>
      <xdr:colOff>420195</xdr:colOff>
      <xdr:row>24</xdr:row>
      <xdr:rowOff>39015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4">
          <xdr14:nvContentPartPr>
            <xdr14:cNvPr id="240" name="Ink 239">
              <a:extLst>
                <a:ext uri="{FF2B5EF4-FFF2-40B4-BE49-F238E27FC236}">
                  <a16:creationId xmlns:a16="http://schemas.microsoft.com/office/drawing/2014/main" id="{2DD3BBE7-93E8-2E85-FC51-4DFFE542D113}"/>
                </a:ext>
              </a:extLst>
            </xdr14:cNvPr>
            <xdr14:cNvContentPartPr/>
          </xdr14:nvContentPartPr>
          <xdr14:nvPr macro=""/>
          <xdr14:xfrm>
            <a:off x="16906470" y="5030460"/>
            <a:ext cx="1411200" cy="123480"/>
          </xdr14:xfrm>
        </xdr:contentPart>
      </mc:Choice>
      <mc:Fallback>
        <xdr:pic>
          <xdr:nvPicPr>
            <xdr:cNvPr id="240" name="Ink 239">
              <a:extLst>
                <a:ext uri="{FF2B5EF4-FFF2-40B4-BE49-F238E27FC236}">
                  <a16:creationId xmlns:a16="http://schemas.microsoft.com/office/drawing/2014/main" id="{2DD3BBE7-93E8-2E85-FC51-4DFFE542D113}"/>
                </a:ext>
              </a:extLst>
            </xdr:cNvPr>
            <xdr:cNvPicPr/>
          </xdr:nvPicPr>
          <xdr:blipFill>
            <a:blip xmlns:r="http://schemas.openxmlformats.org/officeDocument/2006/relationships" r:embed="rId45"/>
            <a:stretch>
              <a:fillRect/>
            </a:stretch>
          </xdr:blipFill>
          <xdr:spPr>
            <a:xfrm>
              <a:off x="16900350" y="5024340"/>
              <a:ext cx="1423440" cy="135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46590</xdr:colOff>
      <xdr:row>1</xdr:row>
      <xdr:rowOff>18660</xdr:rowOff>
    </xdr:from>
    <xdr:to>
      <xdr:col>16</xdr:col>
      <xdr:colOff>142470</xdr:colOff>
      <xdr:row>2</xdr:row>
      <xdr:rowOff>315240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6">
          <xdr14:nvContentPartPr>
            <xdr14:cNvPr id="248" name="Ink 247">
              <a:extLst>
                <a:ext uri="{FF2B5EF4-FFF2-40B4-BE49-F238E27FC236}">
                  <a16:creationId xmlns:a16="http://schemas.microsoft.com/office/drawing/2014/main" id="{7367F9C4-19AE-509D-583E-81AF009A81D3}"/>
                </a:ext>
              </a:extLst>
            </xdr14:cNvPr>
            <xdr14:cNvContentPartPr/>
          </xdr14:nvContentPartPr>
          <xdr14:nvPr macro=""/>
          <xdr14:xfrm>
            <a:off x="8638140" y="209160"/>
            <a:ext cx="1315080" cy="487080"/>
          </xdr14:xfrm>
        </xdr:contentPart>
      </mc:Choice>
      <mc:Fallback>
        <xdr:pic>
          <xdr:nvPicPr>
            <xdr:cNvPr id="248" name="Ink 247">
              <a:extLst>
                <a:ext uri="{FF2B5EF4-FFF2-40B4-BE49-F238E27FC236}">
                  <a16:creationId xmlns:a16="http://schemas.microsoft.com/office/drawing/2014/main" id="{7367F9C4-19AE-509D-583E-81AF009A81D3}"/>
                </a:ext>
              </a:extLst>
            </xdr:cNvPr>
            <xdr:cNvPicPr/>
          </xdr:nvPicPr>
          <xdr:blipFill>
            <a:blip xmlns:r="http://schemas.openxmlformats.org/officeDocument/2006/relationships" r:embed="rId47"/>
            <a:stretch>
              <a:fillRect/>
            </a:stretch>
          </xdr:blipFill>
          <xdr:spPr>
            <a:xfrm>
              <a:off x="8632020" y="203040"/>
              <a:ext cx="1327320" cy="499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561690</xdr:colOff>
      <xdr:row>1</xdr:row>
      <xdr:rowOff>38460</xdr:rowOff>
    </xdr:from>
    <xdr:to>
      <xdr:col>16</xdr:col>
      <xdr:colOff>230370</xdr:colOff>
      <xdr:row>2</xdr:row>
      <xdr:rowOff>169800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8">
          <xdr14:nvContentPartPr>
            <xdr14:cNvPr id="251" name="Ink 250">
              <a:extLst>
                <a:ext uri="{FF2B5EF4-FFF2-40B4-BE49-F238E27FC236}">
                  <a16:creationId xmlns:a16="http://schemas.microsoft.com/office/drawing/2014/main" id="{F7898068-E737-8308-65DA-3EC188D89E16}"/>
                </a:ext>
              </a:extLst>
            </xdr14:cNvPr>
            <xdr14:cNvContentPartPr/>
          </xdr14:nvContentPartPr>
          <xdr14:nvPr macro=""/>
          <xdr14:xfrm>
            <a:off x="9762840" y="228960"/>
            <a:ext cx="278280" cy="321840"/>
          </xdr14:xfrm>
        </xdr:contentPart>
      </mc:Choice>
      <mc:Fallback>
        <xdr:pic>
          <xdr:nvPicPr>
            <xdr:cNvPr id="251" name="Ink 250">
              <a:extLst>
                <a:ext uri="{FF2B5EF4-FFF2-40B4-BE49-F238E27FC236}">
                  <a16:creationId xmlns:a16="http://schemas.microsoft.com/office/drawing/2014/main" id="{F7898068-E737-8308-65DA-3EC188D89E16}"/>
                </a:ext>
              </a:extLst>
            </xdr:cNvPr>
            <xdr:cNvPicPr/>
          </xdr:nvPicPr>
          <xdr:blipFill>
            <a:blip xmlns:r="http://schemas.openxmlformats.org/officeDocument/2006/relationships" r:embed="rId49"/>
            <a:stretch>
              <a:fillRect/>
            </a:stretch>
          </xdr:blipFill>
          <xdr:spPr>
            <a:xfrm>
              <a:off x="9756712" y="222840"/>
              <a:ext cx="290536" cy="334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268290</xdr:colOff>
      <xdr:row>9</xdr:row>
      <xdr:rowOff>180345</xdr:rowOff>
    </xdr:from>
    <xdr:to>
      <xdr:col>12</xdr:col>
      <xdr:colOff>560250</xdr:colOff>
      <xdr:row>11</xdr:row>
      <xdr:rowOff>65055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0">
          <xdr14:nvContentPartPr>
            <xdr14:cNvPr id="256" name="Ink 255">
              <a:extLst>
                <a:ext uri="{FF2B5EF4-FFF2-40B4-BE49-F238E27FC236}">
                  <a16:creationId xmlns:a16="http://schemas.microsoft.com/office/drawing/2014/main" id="{7D72798E-2D95-02DE-AB19-6DE2D0F6B377}"/>
                </a:ext>
              </a:extLst>
            </xdr14:cNvPr>
            <xdr14:cNvContentPartPr/>
          </xdr14:nvContentPartPr>
          <xdr14:nvPr macro=""/>
          <xdr14:xfrm>
            <a:off x="7640640" y="2113920"/>
            <a:ext cx="291960" cy="284760"/>
          </xdr14:xfrm>
        </xdr:contentPart>
      </mc:Choice>
      <mc:Fallback>
        <xdr:pic>
          <xdr:nvPicPr>
            <xdr:cNvPr id="256" name="Ink 255">
              <a:extLst>
                <a:ext uri="{FF2B5EF4-FFF2-40B4-BE49-F238E27FC236}">
                  <a16:creationId xmlns:a16="http://schemas.microsoft.com/office/drawing/2014/main" id="{7D72798E-2D95-02DE-AB19-6DE2D0F6B377}"/>
                </a:ext>
              </a:extLst>
            </xdr:cNvPr>
            <xdr:cNvPicPr/>
          </xdr:nvPicPr>
          <xdr:blipFill>
            <a:blip xmlns:r="http://schemas.openxmlformats.org/officeDocument/2006/relationships" r:embed="rId51"/>
            <a:stretch>
              <a:fillRect/>
            </a:stretch>
          </xdr:blipFill>
          <xdr:spPr>
            <a:xfrm>
              <a:off x="7634520" y="2107800"/>
              <a:ext cx="304200" cy="29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421290</xdr:colOff>
      <xdr:row>9</xdr:row>
      <xdr:rowOff>151905</xdr:rowOff>
    </xdr:from>
    <xdr:to>
      <xdr:col>14</xdr:col>
      <xdr:colOff>209370</xdr:colOff>
      <xdr:row>12</xdr:row>
      <xdr:rowOff>66270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2">
          <xdr14:nvContentPartPr>
            <xdr14:cNvPr id="262" name="Ink 261">
              <a:extLst>
                <a:ext uri="{FF2B5EF4-FFF2-40B4-BE49-F238E27FC236}">
                  <a16:creationId xmlns:a16="http://schemas.microsoft.com/office/drawing/2014/main" id="{3D35EEB1-A356-300F-0C24-644D014983E5}"/>
                </a:ext>
              </a:extLst>
            </xdr14:cNvPr>
            <xdr14:cNvContentPartPr/>
          </xdr14:nvContentPartPr>
          <xdr14:nvPr macro=""/>
          <xdr14:xfrm>
            <a:off x="7793640" y="2085480"/>
            <a:ext cx="1007280" cy="514440"/>
          </xdr14:xfrm>
        </xdr:contentPart>
      </mc:Choice>
      <mc:Fallback>
        <xdr:pic>
          <xdr:nvPicPr>
            <xdr:cNvPr id="262" name="Ink 261">
              <a:extLst>
                <a:ext uri="{FF2B5EF4-FFF2-40B4-BE49-F238E27FC236}">
                  <a16:creationId xmlns:a16="http://schemas.microsoft.com/office/drawing/2014/main" id="{3D35EEB1-A356-300F-0C24-644D014983E5}"/>
                </a:ext>
              </a:extLst>
            </xdr:cNvPr>
            <xdr:cNvPicPr/>
          </xdr:nvPicPr>
          <xdr:blipFill>
            <a:blip xmlns:r="http://schemas.openxmlformats.org/officeDocument/2006/relationships" r:embed="rId53"/>
            <a:stretch>
              <a:fillRect/>
            </a:stretch>
          </xdr:blipFill>
          <xdr:spPr>
            <a:xfrm>
              <a:off x="7787520" y="2079360"/>
              <a:ext cx="1019520" cy="52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279930</xdr:colOff>
      <xdr:row>1</xdr:row>
      <xdr:rowOff>141780</xdr:rowOff>
    </xdr:from>
    <xdr:to>
      <xdr:col>7</xdr:col>
      <xdr:colOff>2850</xdr:colOff>
      <xdr:row>7</xdr:row>
      <xdr:rowOff>67395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4">
          <xdr14:nvContentPartPr>
            <xdr14:cNvPr id="280" name="Ink 279">
              <a:extLst>
                <a:ext uri="{FF2B5EF4-FFF2-40B4-BE49-F238E27FC236}">
                  <a16:creationId xmlns:a16="http://schemas.microsoft.com/office/drawing/2014/main" id="{BCEC942D-B6BF-A966-B23E-D8278F3F42B6}"/>
                </a:ext>
              </a:extLst>
            </xdr14:cNvPr>
            <xdr14:cNvContentPartPr/>
          </xdr14:nvContentPartPr>
          <xdr14:nvPr macro=""/>
          <xdr14:xfrm>
            <a:off x="3385080" y="332280"/>
            <a:ext cx="942120" cy="1268640"/>
          </xdr14:xfrm>
        </xdr:contentPart>
      </mc:Choice>
      <mc:Fallback>
        <xdr:pic>
          <xdr:nvPicPr>
            <xdr:cNvPr id="280" name="Ink 279">
              <a:extLst>
                <a:ext uri="{FF2B5EF4-FFF2-40B4-BE49-F238E27FC236}">
                  <a16:creationId xmlns:a16="http://schemas.microsoft.com/office/drawing/2014/main" id="{BCEC942D-B6BF-A966-B23E-D8278F3F42B6}"/>
                </a:ext>
              </a:extLst>
            </xdr:cNvPr>
            <xdr:cNvPicPr/>
          </xdr:nvPicPr>
          <xdr:blipFill>
            <a:blip xmlns:r="http://schemas.openxmlformats.org/officeDocument/2006/relationships" r:embed="rId55"/>
            <a:stretch>
              <a:fillRect/>
            </a:stretch>
          </xdr:blipFill>
          <xdr:spPr>
            <a:xfrm>
              <a:off x="3378960" y="326162"/>
              <a:ext cx="954360" cy="128087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32</xdr:col>
      <xdr:colOff>740160</xdr:colOff>
      <xdr:row>15</xdr:row>
      <xdr:rowOff>37620</xdr:rowOff>
    </xdr:from>
    <xdr:to>
      <xdr:col>33</xdr:col>
      <xdr:colOff>478080</xdr:colOff>
      <xdr:row>19</xdr:row>
      <xdr:rowOff>87120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6">
          <xdr14:nvContentPartPr>
            <xdr14:cNvPr id="284" name="Ink 283">
              <a:extLst>
                <a:ext uri="{FF2B5EF4-FFF2-40B4-BE49-F238E27FC236}">
                  <a16:creationId xmlns:a16="http://schemas.microsoft.com/office/drawing/2014/main" id="{3774EC90-69B3-9A9A-9A85-61DDA37F1C29}"/>
                </a:ext>
              </a:extLst>
            </xdr14:cNvPr>
            <xdr14:cNvContentPartPr/>
          </xdr14:nvContentPartPr>
          <xdr14:nvPr macro=""/>
          <xdr14:xfrm>
            <a:off x="20828385" y="3352320"/>
            <a:ext cx="652320" cy="849600"/>
          </xdr14:xfrm>
        </xdr:contentPart>
      </mc:Choice>
      <mc:Fallback>
        <xdr:pic>
          <xdr:nvPicPr>
            <xdr:cNvPr id="284" name="Ink 283">
              <a:extLst>
                <a:ext uri="{FF2B5EF4-FFF2-40B4-BE49-F238E27FC236}">
                  <a16:creationId xmlns:a16="http://schemas.microsoft.com/office/drawing/2014/main" id="{3774EC90-69B3-9A9A-9A85-61DDA37F1C29}"/>
                </a:ext>
              </a:extLst>
            </xdr:cNvPr>
            <xdr:cNvPicPr/>
          </xdr:nvPicPr>
          <xdr:blipFill>
            <a:blip xmlns:r="http://schemas.openxmlformats.org/officeDocument/2006/relationships" r:embed="rId57"/>
            <a:stretch>
              <a:fillRect/>
            </a:stretch>
          </xdr:blipFill>
          <xdr:spPr>
            <a:xfrm>
              <a:off x="20822265" y="3346200"/>
              <a:ext cx="664560" cy="861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29</xdr:col>
      <xdr:colOff>462750</xdr:colOff>
      <xdr:row>28</xdr:row>
      <xdr:rowOff>75810</xdr:rowOff>
    </xdr:from>
    <xdr:to>
      <xdr:col>31</xdr:col>
      <xdr:colOff>381645</xdr:colOff>
      <xdr:row>30</xdr:row>
      <xdr:rowOff>21360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8">
          <xdr14:nvContentPartPr>
            <xdr14:cNvPr id="287" name="Ink 286">
              <a:extLst>
                <a:ext uri="{FF2B5EF4-FFF2-40B4-BE49-F238E27FC236}">
                  <a16:creationId xmlns:a16="http://schemas.microsoft.com/office/drawing/2014/main" id="{ED926DBE-F8B8-E077-CAFC-5E41BF6F3E49}"/>
                </a:ext>
              </a:extLst>
            </xdr14:cNvPr>
            <xdr14:cNvContentPartPr/>
          </xdr14:nvContentPartPr>
          <xdr14:nvPr macro=""/>
          <xdr14:xfrm>
            <a:off x="18360225" y="6171810"/>
            <a:ext cx="1338120" cy="345600"/>
          </xdr14:xfrm>
        </xdr:contentPart>
      </mc:Choice>
      <mc:Fallback>
        <xdr:pic>
          <xdr:nvPicPr>
            <xdr:cNvPr id="287" name="Ink 286">
              <a:extLst>
                <a:ext uri="{FF2B5EF4-FFF2-40B4-BE49-F238E27FC236}">
                  <a16:creationId xmlns:a16="http://schemas.microsoft.com/office/drawing/2014/main" id="{ED926DBE-F8B8-E077-CAFC-5E41BF6F3E49}"/>
                </a:ext>
              </a:extLst>
            </xdr:cNvPr>
            <xdr:cNvPicPr/>
          </xdr:nvPicPr>
          <xdr:blipFill>
            <a:blip xmlns:r="http://schemas.openxmlformats.org/officeDocument/2006/relationships" r:embed="rId59"/>
            <a:stretch>
              <a:fillRect/>
            </a:stretch>
          </xdr:blipFill>
          <xdr:spPr>
            <a:xfrm>
              <a:off x="18354107" y="6165690"/>
              <a:ext cx="1350357" cy="3578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0:58.83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1 298 24575,'0'-4'0,"1"1"0,0-1 0,0 1 0,0 0 0,1-1 0,-1 1 0,1 0 0,0 0 0,0 0 0,0 0 0,0 0 0,0 0 0,1 1 0,-1-1 0,1 1 0,-1 0 0,1-1 0,0 1 0,0 0 0,0 1 0,0-1 0,7-2 0,11-5 0,0 0 0,30-7 0,-37 12 0,1-2 0,0-1 0,0 0 0,22-14 0,-22 12 0,0 0 0,31-12 0,196-52 0,-223 69 0,0 1 0,0 1 0,0 1 0,25 1 0,-25 1 0,0-1 0,0-1 0,0-1 0,27-6 0,-3 0 0,0 1 0,1 3 0,-1 1 0,85 6 0,-25 0 0,-77-2 0,0 1 0,-1 1 0,0 2 0,0 0 0,0 2 0,-1 0 0,0 2 0,27 14 0,-8-5 0,-12-5 0,59 33 0,-25-11 0,-52-30 0,-1 1 0,1 1 0,-1 0 0,0 0 0,-1 2 0,0-1 0,0 1 0,-1 1 0,15 17 0,10 23 0,-12-16 0,2 0 0,36 37 0,-48-57-1365,-3-1-5461</inkml:trace>
  <inkml:trace contextRef="#ctx0" brushRef="#br0" timeOffset="859.33">1653 536 24575,'37'0'0,"1"-1"0,0 2 0,0 1 0,59 12 0,-68-9 0,46 3 0,-45-6 0,45 10 0,-71-11 0,0 0 0,0 0 0,0 0 0,0-1 0,0 1 0,0-1 0,1 0 0,-1 0 0,0 0 0,0-1 0,0 0 0,0 0 0,0 0 0,0 0 0,4-2 0,-5 1 0,-1 0 0,0 0 0,1-1 0,-1 1 0,0 0 0,-1-1 0,1 0 0,0 1 0,-1-1 0,1 0 0,-1 0 0,0 0 0,0 0 0,0 0 0,0 0 0,-1 0 0,1 0 0,-1 0 0,0 0 0,0-6 0,2-52 0,-8-94 0,2 133 0,0 1 0,-1 0 0,-14-35 0,3 12 0,12 35-21,0-1 0,-1 1 0,0 0-1,0 1 1,-1-1 0,-10-10 0,1 0-1196,4 4-5609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2:55.39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1973 34 24575,'-1'-2'0,"1"1"0,-1 0 0,1 0 0,-1 0 0,0-1 0,1 1 0,-1 0 0,0 0 0,0 0 0,1 0 0,-1 0 0,0 0 0,0 1 0,0-1 0,0 0 0,0 0 0,0 1 0,0-1 0,-1 1 0,1-1 0,0 1 0,0-1 0,0 1 0,-1 0 0,1-1 0,0 1 0,-2 0 0,-40-5 0,38 5 0,-3-1 0,-40-3 0,1 2 0,-1 3 0,-69 9 0,-41 40 0,148-48 0,-217 65 0,-9 22 0,8 17 0,211-98 0,0 0 0,1 1 0,-17 13 0,18-12 0,0 0 0,-1-1 0,-26 11 0,-34 9-44,46-16-286,-1-1-1,0-2 1,-60 11 0,69-18-6496</inkml:trace>
  <inkml:trace contextRef="#ctx0" brushRef="#br0" timeOffset="454.07">577 118 24575,'-12'0'0,"-1"1"0,1 0 0,0 1 0,0 1 0,0 0 0,0 0 0,0 1 0,1 1 0,-1 0 0,1 1 0,1 0 0,-1 1 0,1 0 0,-19 17 0,12-9 0,-4 3 0,1 1 0,-24 28 0,-43 46 0,53-50 0,19-26 0,1 1 0,1 1 0,0 0 0,-11 23 0,2 5 0,3-9 0,-15 45 0,32-78 0,0 0 0,1 0 0,0-1 0,0 1 0,0 0 0,1 0 0,-1 0 0,1 0 0,0 0 0,1 0 0,-1 0 0,1 0 0,0 0 0,0 0 0,3 7 0,-3-8 0,1-1 0,0 0 0,0 0 0,0-1 0,0 1 0,1 0 0,-1-1 0,1 0 0,-1 1 0,1-1 0,0 0 0,0 0 0,0-1 0,0 1 0,0-1 0,0 1 0,0-1 0,0 0 0,1 0 0,-1-1 0,0 1 0,6 0 0,24 2 0,1-1 0,0-2 0,62-8 0,-80 6 0,0-2 0,0 1 0,0-2 0,-1 0 0,0-1 0,0-1 0,0 0 0,-1-1 0,0-1 0,15-12 0,2 0-1365,-15 13-5461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2:57.1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1473 454 24575,'-56'-20'0,"3"13"0,0 3 0,-101 6 0,47 1 0,23-5 0,-94 5 0,158-1 0,1 1 0,-1 0 0,0 2 0,1 1 0,-30 12 0,47-17 0,0 0 0,0 0 0,0 0 0,0 0 0,0 0 0,0 1 0,0-1 0,1 1 0,-1-1 0,0 1 0,1 0 0,-1 0 0,1-1 0,0 1 0,-1 0 0,1 0 0,0 0 0,0 1 0,0-1 0,0 0 0,1 0 0,-1 0 0,1 1 0,-1-1 0,1 0 0,0 1 0,0-1 0,0 0 0,0 1 0,0-1 0,0 0 0,1 1 0,-1-1 0,1 0 0,0 1 0,-1-1 0,1 0 0,0 0 0,2 3 0,2 3 0,-1-1 0,1 0 0,0-1 0,1 1 0,0-1 0,0 0 0,0 0 0,0-1 0,12 8 0,36 19 0,103 44 0,-47-23 0,-100-49 0,0 1 0,0 0 0,-1 0 0,0 1 0,0 0 0,0 0 0,0 1 0,-1 0 0,7 9 0,-12-12 0,1-1 0,-2 1 0,1-1 0,0 1 0,-1 0 0,1 0 0,-1 0 0,0 1 0,0-1 0,-1 0 0,0 1 0,1-1 0,-1 1 0,-1 0 0,1-1 0,-1 1 0,1 0 0,-1-1 0,-1 1 0,1 0 0,-1-1 0,1 1 0,-4 8 0,2-9 0,-1 1 0,0-1 0,0 0 0,-1 0 0,1 0 0,-1 0 0,0-1 0,0 1 0,0-1 0,0 0 0,0 0 0,-1-1 0,0 1 0,1-1 0,-1 0 0,0 0 0,-9 1 0,-12 5 0,-53 6 0,78-14 0,-144 29 0,236-62-1365,-67 25-5461</inkml:trace>
  <inkml:trace contextRef="#ctx0" brushRef="#br0" timeOffset="389.86">1814 1 24575,'0'508'0,"2"-476"0,10 57 0,-7-57 0,3 56 0,-6-55 0,2 1 0,1-1 0,11 38 0,-8-39 0,-2 1 0,-1 0 0,2 43 0,-6-50 0,2 0 0,6 28 0,-4-28 0,3 45 0,-9-187-1365,1 90-5461</inkml:trace>
  <inkml:trace contextRef="#ctx0" brushRef="#br0" timeOffset="701.34">1498 775 24575,'56'-21'0,"-11"12"0,-1-2 0,-1-2 0,52-22 0,-70 25 0,1 1 0,0 2 0,1 1 0,-1 1 0,1 1 0,0 1 0,32 2 0,336 2-1365,-372-1-5461</inkml:trace>
  <inkml:trace contextRef="#ctx0" brushRef="#br0" timeOffset="1217.42">2471 775 24575,'-1'5'0,"-1"0"0,1 0 0,-1 0 0,0 0 0,0-1 0,-1 1 0,0 0 0,1-1 0,-1 0 0,-1 0 0,1 0 0,0 0 0,-1 0 0,0-1 0,0 0 0,-8 6 0,-28 31 0,34-30 0,1 0 0,0 0 0,1 0 0,-1 1 0,2 0 0,0 0 0,0 0 0,1 0 0,-1 18 0,1 0 0,2 0 0,5 45 0,-5-70 0,1 1 0,-1-1 0,1 1 0,1-1 0,-1 0 0,0 1 0,1-1 0,0 0 0,0 0 0,0 0 0,1 0 0,-1-1 0,1 1 0,0 0 0,0-1 0,0 0 0,0 0 0,1 0 0,-1 0 0,1-1 0,0 1 0,7 3 0,4 0 0,1-1 0,-1 0 0,1-1 0,32 4 0,2 0 0,-46-6 0,-1-1 0,1 0 0,0 0 0,0-1 0,0 1 0,0-1 0,0 0 0,0 0 0,-1 0 0,1 0 0,0-1 0,0 0 0,0 1 0,0-2 0,-1 1 0,1 0 0,0-1 0,-1 1 0,1-1 0,-1 0 0,0 0 0,0-1 0,1 1 0,-1-1 0,-1 0 0,1 1 0,0-1 0,-1 0 0,1-1 0,-1 1 0,0 0 0,0-1 0,0 1 0,-1-1 0,1 0 0,-1 1 0,0-1 0,2-8 0,6-20 0,-2-2 0,7-59 0,-12 75 0,-1 0 0,-1 0 0,-1 1 0,-1-1 0,0 0 0,-1 1 0,-7-20 0,6 28 0,-1 0 0,0 0 0,0 1 0,-1-1 0,0 1 0,0 1 0,-1-1 0,0 1 0,-1 0 0,0 1 0,0-1 0,0 2 0,0-1 0,-1 1 0,0 1 0,0-1 0,0 2 0,-15-5 0,-62-1 0,82 8 0,-1 1 0,0 0 0,0 0 0,0 1 0,0 0 0,0-1 0,0 2 0,0-1 0,0 0 0,1 1 0,-1 0 0,1 0 0,-1 1 0,-6 4 0,11-7 0,-1 1 0,1-1 0,-1 1 0,1-1 0,-1 1 0,1 0 0,-1-1 0,1 1 0,0 0 0,-1-1 0,1 1 0,0 0 0,-1 0 0,1-1 0,0 1 0,0 0 0,0 0 0,0 0 0,0-1 0,0 1 0,0 0 0,0 0 0,0 0 0,0-1 0,0 1 0,0 0 0,1 0 0,-1 0 0,19 18 0,30 3 0,-25-14-1365,-2 0-5461</inkml:trace>
  <inkml:trace contextRef="#ctx0" brushRef="#br0" timeOffset="1905">3023 1122 24575,'8'8'0,"-1"-1"0,0 1 0,0 1 0,-1-1 0,0 1 0,-1 0 0,0 1 0,0-1 0,-1 1 0,6 18 0,-7-16 0,6 16 0,-2 1 0,-1 0 0,-1 0 0,2 50 0,-7-53 0,1 0 0,1 0 0,9 41 0,15 67 0,-89-375 0,21 67 0,34 133 0,2 0 0,1 0 0,2-1 0,2 0 0,5-48 0,-1-13 0,-4 83 0,2 0 0,0 0 0,1 0 0,1 0 0,0 0 0,2 1 0,0 0 0,2 0 0,0 0 0,0 0 0,15-23 0,-17 36 0,-1 1 0,1 0 0,0 0 0,0 1 0,0-1 0,1 1 0,-1 0 0,1 1 0,0-1 0,0 1 0,0 0 0,1 1 0,-1-1 0,1 1 0,-1 1 0,1-1 0,8 0 0,15-1 0,0 2 0,51 4 0,-27-1 0,-30-3 0,-18 0 0,-1 1 0,1-1 0,0 1 0,-1 0 0,1 0 0,-1 1 0,1-1 0,-1 1 0,1 1 0,-1-1 0,1 1 0,-1 0 0,0 0 0,10 6 0,-15-7 0,1 0 0,-1 1 0,1-1 0,-1 0 0,0 1 0,1-1 0,-1 0 0,0 1 0,0-1 0,0 1 0,0-1 0,0 1 0,0-1 0,0 0 0,0 1 0,-1-1 0,1 1 0,0-1 0,-1 0 0,0 1 0,1-1 0,-1 0 0,0 0 0,1 1 0,-1-1 0,0 0 0,0 0 0,0 0 0,0 0 0,0 0 0,-1 1 0,-35 33 0,-7-5 0,-51 26 0,37-23 0,17-14 0,34-17 0,-1 1 0,1 0 0,0 0 0,1 0 0,-1 1 0,1 0 0,-1 1 0,1-1 0,0 1 0,-8 10 0,13-14 0,1-1 0,-1 1 0,1-1 0,0 1 0,-1 0 0,1-1 0,0 1 0,-1 0 0,1 0 0,0-1 0,0 1 0,0 0 0,0 0 0,0-1 0,0 1 0,0 0 0,0 0 0,0-1 0,0 1 0,0 0 0,0 0 0,0-1 0,1 1 0,-1 0 0,0-1 0,0 1 0,1 0 0,-1-1 0,1 1 0,0 0 0,23 12 0,35-7 0,-57-6 0,268-3-1365,-247 3-5461</inkml:trace>
  <inkml:trace contextRef="#ctx0" brushRef="#br0" timeOffset="2388.5">4101 748 24575,'-58'-2'0,"41"0"0,-1 0 0,1 2 0,0 0 0,-1 1 0,1 1 0,0 1 0,-31 8 0,42-8 0,0 0 0,1 0 0,0 0 0,-1 1 0,1-1 0,0 1 0,1 1 0,-1-1 0,1 1 0,0 0 0,0 0 0,0 0 0,1 0 0,-1 0 0,1 1 0,0 0 0,1 0 0,-3 9 0,4-11 0,0 0 0,0 1 0,1-1 0,-1 0 0,1 0 0,0 1 0,1-1 0,-1 0 0,1 1 0,0-1 0,0 0 0,0 0 0,0 0 0,1 0 0,-1 0 0,1 0 0,0 0 0,0-1 0,1 1 0,-1 0 0,1-1 0,0 0 0,0 0 0,0 0 0,0 0 0,0 0 0,6 3 0,5 2 0,-1-1 0,1 0 0,1-2 0,-1 1 0,1-2 0,0 0 0,0 0 0,0-2 0,1 0 0,-1-1 0,21 0 0,7 1 0,-41-2 0,0 1 0,0-1 0,1 0 0,-1 0 0,0 1 0,0 0 0,1-1 0,-1 1 0,0 0 0,0 0 0,0 0 0,0 0 0,0 0 0,0 1 0,0-1 0,-1 1 0,1-1 0,0 1 0,-1 0 0,1-1 0,-1 1 0,0 0 0,1 0 0,-1 0 0,0 0 0,0 0 0,0 0 0,-1 0 0,1 1 0,0-1 0,-1 0 0,1 1 0,-1-1 0,0 0 0,0 0 0,0 1 0,0 1 0,0 0 0,-1-1 0,1 0 0,-1 1 0,0-1 0,0 0 0,0 0 0,0 0 0,-1 0 0,1 0 0,-1 0 0,0 0 0,0 0 0,0 0 0,0-1 0,0 1 0,0-1 0,-1 0 0,1 0 0,-1 0 0,0 0 0,1 0 0,-1 0 0,0-1 0,0 1 0,-5 1 0,-8 0-85,0-1 0,0 0 0,0-1 0,0-1 0,-17-1 0,16 0-770,-6 0-5971</inkml:trace>
  <inkml:trace contextRef="#ctx0" brushRef="#br0" timeOffset="5285.44">1 2377 24575,'1'0'0,"0"1"0,0-1 0,0 1 0,0-1 0,0 1 0,0 0 0,0-1 0,0 1 0,0 0 0,0 0 0,0 0 0,0 0 0,0 0 0,0 0 0,-1 0 0,1 0 0,-1 0 0,1 0 0,0 0 0,-1 1 0,0-1 0,1 0 0,-1 0 0,0 0 0,1 1 0,-1-1 0,0 2 0,5 41 0,-5-39 0,2 58 0,-2-37 0,1 0 0,1-1 0,1 0 0,2 1 0,8 28 0,-7-35 0,1-1 0,0 0 0,2-1 0,0 0 0,0 0 0,18 21 0,-22-32 0,0 0 0,1 0 0,0-1 0,0 1 0,1-1 0,-1 0 0,1-1 0,0 0 0,0 0 0,1 0 0,-1-1 0,1 0 0,-1-1 0,1 0 0,0 0 0,0-1 0,13 2 0,-13-3 0,0 0 0,0 0 0,0 0 0,-1-1 0,1 0 0,0-1 0,0 1 0,-1-2 0,1 1 0,-1-1 0,0 0 0,0 0 0,0-1 0,0 0 0,0-1 0,-1 1 0,0-1 0,0-1 0,0 1 0,0-1 0,-1 0 0,0 0 0,0 0 0,-1-1 0,0 0 0,0 0 0,4-9 0,8-19 0,-2-1 0,-1 0 0,-2-1 0,-1 0 0,6-47 0,-9 34 0,1 0 0,3-90 0,-10 97 0,-2-45 0,1 81 0,-1 0 0,0-1 0,-1 1 0,1 0 0,-1 0 0,-1 0 0,1 1 0,-1-1 0,-5-8 0,8 14 4,-1 0 0,1 0 0,-1 0 0,0 0 0,0 0-1,1 0 1,-1 0 0,0 0 0,0 0 0,0 0 0,0 0 0,0 0-1,0 1 1,0-1 0,0 0 0,0 1 0,0-1 0,0 1 0,-1-1 0,1 1-1,0 0 1,0-1 0,0 1 0,-1 0 0,1 0 0,0 0 0,0 0-1,-1 0 1,1 0 0,-3 1 0,3 0-78,-1 0-1,1 0 1,-1 0 0,1 1 0,-1-1-1,1 0 1,0 1 0,-1-1 0,1 1-1,0 0 1,0-1 0,0 1 0,0 0-1,0 0 1,1 0 0,-1-1 0,1 1-1,-1 0 1,0 3 0,-2 15-6752</inkml:trace>
  <inkml:trace contextRef="#ctx0" brushRef="#br0" timeOffset="5907.03">999 2991 24575,'0'9'0,"1"-1"0,1 0 0,0 1 0,0-1 0,3 9 0,7 31 0,-6 48 0,-7 104 0,-1-67 0,-3-89 0,-4-26 0,8-17 0,1-1 0,-1 0 0,1 0 0,-1 0 0,1 1 0,-1-1 0,1 0 0,-1 0 0,0 0 0,1 0 0,-1 0 0,1 0 0,-1 0 0,1 0 0,-1 0 0,1 0 0,-1 0 0,0 0 0,1 0 0,-1-1 0,1 1 0,-1 0 0,1 0 0,-1-1 0,1 1 0,-1 0 0,1-1 0,0 1 0,-1 0 0,1-1 0,-1 1 0,1-1 0,-6-7 0,1 0 0,0 0 0,1 0 0,0-1 0,0 0 0,1 0 0,0 0 0,1 0 0,-3-15 0,1 8 0,-9-39 0,-39-132 0,47 165 0,0 0 0,1 0 0,1-1 0,-1-40 0,3 34 0,-1 0 0,-7-36 0,2 23 0,3 0 0,1-1 0,5-78 0,0 33 0,0 68 0,2 0 0,0 0 0,1 0 0,1 1 0,1 0 0,1 0 0,0 0 0,21-33 0,-23 44 0,-1 0 0,1 0 0,0 1 0,1-1 0,0 2 0,0-1 0,1 1 0,-1 0 0,1 0 0,0 1 0,1 0 0,-1 1 0,1 0 0,0 0 0,0 1 0,14-4 0,-1 3 0,0 0 0,0 1 0,0 1 0,0 2 0,0 0 0,25 4 0,-44-4 0,1 0 0,0 1 0,-1 0 0,1-1 0,-1 1 0,1 1 0,-1-1 0,1 0 0,-1 1 0,0 0 0,0 0 0,0 0 0,0 0 0,0 0 0,0 1 0,0-1 0,-1 1 0,1 0 0,-1 0 0,0 0 0,0 0 0,0 0 0,0 0 0,0 0 0,-1 1 0,1-1 0,-1 1 0,0-1 0,1 6 0,-1-3 0,-1 0 0,0 0 0,0 0 0,0 0 0,-1 0 0,1 0 0,-1 0 0,-1 0 0,1 0 0,-1 0 0,0-1 0,-1 1 0,1-1 0,-1 1 0,0-1 0,0 0 0,-6 8 0,-2-3 0,0-1 0,0 0 0,-1 0 0,0-1 0,-25 13 0,2-1 0,20-13 28,1 1 1,-30 8-1,32-12-235,0 0-1,1 1 1,0 0 0,0 0 0,0 1 0,-10 8 0,9-2-6619</inkml:trace>
  <inkml:trace contextRef="#ctx0" brushRef="#br0" timeOffset="6547.56">2156 2057 24575,'-2'148'0,"5"159"0,1-275 0,16 59 0,-3-18 0,-16-72 0,-1-1 0,0 1 0,0-1 0,1 1 0,-1-1 0,0 1 0,0-1 0,0 1 0,0-1 0,0 1 0,0-1 0,0 1 0,0 0 0,0-1 0,0 1 0,0-1 0,0 1 0,0-1 0,0 1 0,0-1 0,-1 1 0,1-1 0,0 1 0,0-1 0,-1 1 0,1-1 0,0 1 0,0-1 0,-1 1 0,1-1 0,-1 1 0,1-1 0,0 0 0,-1 1 0,1-1 0,-1 0 0,1 1 0,-2-1 0,-21-9 0,-21-27 0,37 30 0,-1-1 0,0 1 0,0 1 0,0 0 0,-1 0 0,0 1 0,0 0 0,-10-4 0,-81-18 0,68 19 0,8 3 0,0 0 0,-1 2 0,0 1 0,1 1 0,-27 3 0,48-3 0,0 0 0,1 1 0,-1 0 0,0 0 0,0 0 0,0 0 0,1 0 0,-1 0 0,1 1 0,-1-1 0,1 1 0,-1 0 0,1 0 0,0 0 0,0 0 0,0 0 0,-3 4 0,2 0 0,-1 0 0,1 0 0,0 0 0,0 0 0,1 0 0,-1 1 0,-1 9 0,1 2 0,0 0 0,2 0 0,0 1 0,2 34 0,-1-47 0,1-1 0,0 1 0,0 0 0,0-1 0,0 1 0,1-1 0,0 0 0,0 1 0,1-1 0,-1 0 0,1 0 0,0-1 0,0 1 0,1 0 0,0-1 0,-1 0 0,1 0 0,1 0 0,-1 0 0,8 4 0,-2-3 0,0 0 0,0-1 0,0-1 0,1 0 0,0 0 0,-1-1 0,1 0 0,0-1 0,18 0 0,-18 0 0,1 0 0,-1-1 0,0-1 0,0 0 0,0 0 0,0-1 0,0-1 0,0 0 0,0 0 0,-1-1 0,0-1 0,15-7 0,-5 2 0,0 2 0,0 0 0,1 1 0,35-7 0,-5 1 0,118-46 0,-22 19-1365,-126 32-5461</inkml:trace>
  <inkml:trace contextRef="#ctx0" brushRef="#br0" timeOffset="7016.98">2576 2698 24575,'-7'4'0,"1"2"0,-1-1 0,1 1 0,0-1 0,0 2 0,-5 7 0,8-11 0,1 0 0,-1 0 0,1 0 0,0 0 0,0 0 0,0 1 0,1-1 0,-1 0 0,1 1 0,0 0 0,0-1 0,0 1 0,0 0 0,0-1 0,1 1 0,0 0 0,0 0 0,0-1 0,1 7 0,-1-8 0,1 0 0,-1-1 0,1 1 0,0 0 0,0 0 0,0-1 0,0 1 0,0 0 0,0-1 0,0 1 0,0-1 0,1 0 0,-1 1 0,1-1 0,-1 0 0,1 0 0,-1 0 0,1 0 0,-1 0 0,1 0 0,0 0 0,0-1 0,-1 1 0,1-1 0,0 1 0,0-1 0,0 0 0,0 1 0,0-1 0,-1 0 0,1 0 0,0-1 0,0 1 0,0 0 0,0-1 0,0 1 0,2-2 0,7-1 0,-1-1 0,1 0 0,-1-1 0,0 0 0,0-1 0,-1 0 0,0-1 0,0 0 0,12-11 0,-8 6 0,0 2 0,1-1 0,19-9 0,-29 17 0,1 1 0,0-1 0,0 1 0,0 0 0,0 1 0,0-1 0,0 1 0,10-1 0,-13 2 0,0 1 0,0-1 0,0 1 0,0-1 0,0 1 0,0 0 0,0 0 0,-1 0 0,1 0 0,0 0 0,-1 1 0,1-1 0,-1 0 0,1 1 0,-1-1 0,0 1 0,1-1 0,-1 1 0,0 0 0,0-1 0,0 1 0,0 0 0,0 0 0,-1 0 0,1 0 0,0 2 0,8 20 0,1-1 0,23 36 0,-28-50 0,2 0 0,-1 0 0,1-1 0,0 0 0,0-1 0,1 0 0,0 0 0,17 11 0,-24-18 0,0 1 0,0-1 0,1 0 0,-1 1 0,0-1 0,0 0 0,0 0 0,0 0 0,0 0 0,0 0 0,0 0 0,0 0 0,0 0 0,1 0 0,-1-1 0,0 1 0,0 0 0,0-1 0,0 1 0,0-1 0,0 1 0,0-1 0,0 0 0,0 1 0,-1-1 0,1 0 0,0 0 0,0 1 0,-1-1 0,1 0 0,0 0 0,-1 0 0,1 0 0,-1 0 0,1 0 0,-1 0 0,1-1 0,21-53 0,-14 34 0,14-25-1365,-13 25-5461</inkml:trace>
  <inkml:trace contextRef="#ctx0" brushRef="#br0" timeOffset="7343.85">3338 2083 24575,'1'30'0,"2"1"0,7 29 0,-5-29 0,4 58 0,-9-56 0,2 9 0,-3 0 0,-1-1 0,-14 80 0,3-63 0,9-34 0,-1-1 0,-1 1 0,-15 38 0,19-59-47,-1 4 76,0 0 0,-1 0 0,0 0-1,0-1 1,-9 12 0,12-18-39,0 1 0,1-1 1,-1 1-1,0-1 0,1 1 0,-1-1 0,0 1 0,1-1 0,-1 0 1,0 1-1,0-1 0,0 0 0,1 0 0,-1 1 0,0-1 1,0 0-1,0 0 0,0 0 0,1 0 0,-1 0 0,0 0 1,-1-1-1,0 0-75,0 0 1,1 0 0,-1 0-1,1 0 1,-1 0 0,1 0-1,-1-1 1,1 1 0,0 0 0,0-1-1,0 0 1,0 1 0,0-1-1,-2-2 1,-5-14-6742</inkml:trace>
  <inkml:trace contextRef="#ctx0" brushRef="#br0" timeOffset="7608.35">2891 2511 24575,'36'-1'0,"1"2"0,-1 2 0,50 10 0,-47-7 0,1-1 0,0-2 0,71-5 0,-35 0 0,-43 0 0,-1-1 0,35-9 0,-16 3 0,8-3 23,-38 6-486,0 2 1,36-2-1,-35 5-6363</inkml:trace>
  <inkml:trace contextRef="#ctx0" brushRef="#br0" timeOffset="7889.99">3863 2724 24575,'0'348'0,"4"-325"120,1-18-321,3-14-1083,-4-3-5542</inkml:trace>
  <inkml:trace contextRef="#ctx0" brushRef="#br0" timeOffset="8110.5">3811 2244 24575,'0'4'0,"0"7"0,0 1-8191</inkml:trace>
  <inkml:trace contextRef="#ctx0" brushRef="#br0" timeOffset="8717.36">4258 2644 24575,'0'243'0,"0"-271"0,1 0 0,2 1 0,1-1 0,1 1 0,1-1 0,2 1 0,0 1 0,13-26 0,-17 41 0,1 1 0,1 0 0,-1 0 0,1 1 0,1 0 0,0 0 0,0 1 0,1-1 0,0 1 0,0 1 0,1 0 0,0 0 0,0 1 0,1 0 0,0 1 0,0 0 0,0 0 0,0 1 0,1 0 0,-1 1 0,1 0 0,18-2 0,-24 5 0,0 0 0,-1 0 0,1 0 0,-1 0 0,1 1 0,-1 0 0,1 0 0,-1 0 0,0 0 0,1 1 0,-1-1 0,0 1 0,0 0 0,0 1 0,0-1 0,0 1 0,-1-1 0,1 1 0,-1 0 0,0 1 0,0-1 0,0 1 0,0-1 0,0 1 0,-1 0 0,1 0 0,-1 0 0,0 0 0,-1 0 0,1 1 0,-1-1 0,1 0 0,0 6 0,3 16 0,-1 0 0,-1 0 0,0 0 0,-3 41 0,0-58 0,0 10 30,1 0 0,0 0 0,8 32 0,-7-44-136,0 0 0,0 0 0,0-1 0,1 1 0,0-1 0,0 0-1,0 1 1,1-2 0,0 1 0,0 0 0,0-1 0,1 0 0,7 7 0,2-3-6720</inkml:trace>
  <inkml:trace contextRef="#ctx0" brushRef="#br0" timeOffset="9451.41">5152 2323 24575,'-1'-1'0,"1"0"0,-1 0 0,1-1 0,-1 1 0,1 0 0,-1 0 0,0 0 0,0 0 0,0 0 0,1 0 0,-1 0 0,0 0 0,0 1 0,0-1 0,0 0 0,0 0 0,-1 1 0,1-1 0,0 1 0,0-1 0,0 1 0,0-1 0,-1 1 0,1 0 0,0 0 0,0-1 0,-1 1 0,-1 0 0,-38 1 0,34 2 0,1 0 0,0 0 0,-1 1 0,1 0 0,0 0 0,1 0 0,-1 1 0,1 0 0,0 0 0,0 1 0,0-1 0,1 1 0,0 0 0,0 0 0,0 1 0,-3 8 0,-2 7 0,0 1 0,1 0 0,-6 36 0,10-40 0,1 0 0,-2 38 0,5-54 0,-1 0 0,1 0 0,0 1 0,0-1 0,0 0 0,1 0 0,-1 1 0,1-1 0,0 0 0,0 0 0,0 0 0,0 0 0,0 0 0,1 0 0,-1 0 0,1 0 0,0-1 0,-1 1 0,1-1 0,1 1 0,-1-1 0,0 0 0,0 1 0,1-1 0,4 2 0,-5-3 0,0-1 0,0 0 0,0 0 0,-1 0 0,1 0 0,0 0 0,0 0 0,0 0 0,0-1 0,0 1 0,0-1 0,0 1 0,0-1 0,-1 0 0,1 0 0,0 0 0,0 0 0,-1 0 0,1 0 0,-1 0 0,1-1 0,-1 1 0,2-2 0,35-43 0,-25 28 0,94-134 0,-106 151 0,-1 1 0,1-1 0,-1 1 0,0 0 0,1-1 0,-1 1 0,1-1 0,-1 1 0,1 0 0,-1-1 0,1 1 0,0 0 0,-1 0 0,1 0 0,-1-1 0,1 1 0,0 0 0,-1 0 0,1 0 0,-1 0 0,1 0 0,0 0 0,-1 0 0,1 0 0,-1 0 0,1 0 0,0 1 0,-1-1 0,1 0 0,-1 0 0,1 0 0,0 1 0,19 19 0,7 27 0,-1 14 0,-11-24 0,39 67 0,-27-56 0,24 58 0,-40-83 0,-5-6 0,-1 0 0,0 0 0,-1 0 0,2 20 0,2 10 0,-5-33 0,0-1 0,-1 1 0,-1 0 0,0 0 0,-1 0 0,-3 26 0,2-36 0,1 0 0,-1 0 0,0 0 0,-1 0 0,1-1 0,-1 1 0,1 0 0,-1-1 0,0 1 0,-1-1 0,1 0 0,0 0 0,-1 0 0,0 0 0,0 0 0,1-1 0,-2 1 0,1-1 0,0 0 0,0 1 0,-1-2 0,1 1 0,-1 0 0,0-1 0,1 0 0,-1 1 0,0-1 0,-5 0 0,-4 1 0,0 0 0,-1-1 0,1 0 0,0-1 0,-1 0 0,1-2 0,0 1 0,0-2 0,0 0 0,0 0 0,0-1 0,-23-11 0,-81-40 0,105 50 0,-1 0 0,1 1 0,-1 1 0,0 0 0,0 1 0,0 0 0,-22 1 0,35 1 0,1 0 0,-1 0 0,0 0 0,0 1 0,0-1 0,1 0 0,-1 0 0,0 1 0,0-1 0,0 0 0,0 0 0,0 1 0,0-1 0,1 0 0,-1 0 0,0 1 0,0-1 0,0 0 0,0 1 0,0-1 0,0 0 0,0 0 0,0 1 0,0-1 0,0 0 0,0 1 0,-1-1 0,1 0 0,0 0 0,0 1 0,0-1 0,0 0 0,0 0 0,0 1 0,-1-1 0,1 0 0,0 0 0,0 1 0,0-1 0,-1 0 0,1 0 0,0 0 0,0 0 0,-1 1 0,1-1 0,0 0 0,0 0 0,-1 0 0,1 0 0,-1 0 0,32 15 0,-27-13 0,69 38-1365,-55-33-5461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19.48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555 245 24575,'-67'-2'0,"41"0"0,0 1 0,-1 1 0,1 2 0,-35 6 0,41 0 0,0 1 0,1 0 0,0 2 0,0 0 0,1 1 0,1 2 0,-26 23 0,24-21 0,7-6 0,1 1 0,1 0 0,0 0 0,0 1 0,1 0 0,1 1 0,0 0 0,0 0 0,1 1 0,1 0 0,0 0 0,1 1 0,1 0 0,0 0 0,1 0 0,0 0 0,1 0 0,1 1 0,1-1 0,0 19 0,1-30 0,0 0 0,-1-1 0,1 1 0,0 0 0,1 0 0,-1-1 0,1 1 0,-1-1 0,1 1 0,0-1 0,0 1 0,0-1 0,1 0 0,-1 0 0,1-1 0,0 1 0,0 0 0,0-1 0,0 1 0,0-1 0,0 0 0,1 0 0,-1-1 0,0 1 0,1-1 0,0 0 0,-1 1 0,1-2 0,4 2 0,13 1 0,-1-1 0,1 0 0,0-2 0,25-2 0,-13 0 0,-21 2 0,0-1 0,1-1 0,-1 0 0,0 0 0,0-1 0,-1-1 0,1 0 0,-1-1 0,0 0 0,0 0 0,0-2 0,0 1 0,-1-1 0,0-1 0,9-9 0,38-22 0,-45 32 0,0 0 0,-1-1 0,0 0 0,12-12 0,15-17 0,-25 26 0,-1-1 0,0-1 0,19-25 0,-27 32 0,-1-1 0,1 1 0,-1-1 0,-1 1 0,1-1 0,-1 0 0,-1 0 0,1 0 0,-1 0 0,0 0 0,0 0 0,-1-1 0,0-7 0,-1 7 0,0 1 0,-1-1 0,0 0 0,0 1 0,0-1 0,-1 1 0,0 0 0,0 0 0,-1 0 0,0 0 0,0 1 0,0 0 0,-1 0 0,0 0 0,0 0 0,-1 1 0,1-1 0,-1 2 0,0-1 0,-1 1 0,1-1 0,-1 2 0,1-1 0,-13-3 0,17 6 5,0 0-1,0 1 1,0 0-1,1-1 0,-1 1 1,0 0-1,0 0 1,0 0-1,0 0 1,0 0-1,0 1 0,0-1 1,0 1-1,0-1 1,0 1-1,1 0 1,-1 0-1,0-1 1,0 1-1,1 1 0,-1-1 1,1 0-1,-1 0 1,1 1-1,-1-1 1,-1 3-1,0 0-153,1 0 1,0 0-1,0 1 1,0-1-1,0 0 1,1 1-1,-1 0 1,1-1-1,-1 10 1,0 8-6678</inkml:trace>
  <inkml:trace contextRef="#ctx0" brushRef="#br0" timeOffset="607.45">1055 354 24575,'21'57'0,"-19"-20"0,-2-31 0,0 0 0,0 0 0,0-1 0,1 1 0,0 0 0,0-1 0,0 1 0,1-1 0,-1 1 0,1-1 0,4 7 0,-5-12 0,-1-1 0,1 1 0,0 0 0,-1 0 0,1-1 0,0 1 0,-1 0 0,1-1 0,-1 1 0,1 0 0,0-1 0,-1 1 0,1-1 0,-1 1 0,1-1 0,-1 1 0,1-1 0,-1 0 0,0 1 0,1-1 0,-1 1 0,0-1 0,1 0 0,-1 0 0,0 1 0,0-1 0,1-1 0,10-23 0,3-7 0,29-52 0,-27 56 0,-1-2 0,15-38 0,-27 59 0,0 1 0,1-1 0,0 1 0,1 0 0,0 0 0,0 0 0,1 1 0,-1 0 0,2 0 0,-1 0 0,1 1 0,0 0 0,0 0 0,15-9 0,-18 13 0,1 0 0,0 0 0,0 0 0,0 0 0,0 1 0,0 0 0,0 0 0,0 0 0,1 1 0,-1-1 0,0 1 0,0 1 0,1-1 0,-1 1 0,0 0 0,0 0 0,0 1 0,0-1 0,0 1 0,0 0 0,0 1 0,-1-1 0,1 1 0,-1 0 0,1 0 0,5 6 0,-5-4 0,-1 0 0,0 0 0,0 0 0,0 1 0,-1 0 0,1 0 0,-1 0 0,-1 0 0,4 11 0,16 66 0,-14-45 0,2 44 0,-10-71 0,0 1 0,1-1 0,0 1 0,1-1 0,1 1 0,-1-1 0,1 0 0,1 0 0,0-1 0,8 15 0,-10-23-114,-1 0 1,1 0-1,0 0 0,0 0 0,1 0 1,-1 0-1,0-1 0,1 1 0,-1-1 1,0 0-1,5 2 0,10 2-6712</inkml:trace>
  <inkml:trace contextRef="#ctx0" brushRef="#br0" timeOffset="1062.43">2345 81 24575,'-1'-1'0,"1"0"0,0 0 0,-1 0 0,1 0 0,-1 0 0,1 0 0,-1 1 0,1-1 0,-1 0 0,1 0 0,-1 0 0,0 1 0,0-1 0,1 0 0,-1 1 0,0-1 0,0 0 0,0 1 0,0-1 0,1 1 0,-1 0 0,0-1 0,0 1 0,0 0 0,0-1 0,0 1 0,0 0 0,0 0 0,0 0 0,0 0 0,0 0 0,0 0 0,0 0 0,0 0 0,0 1 0,0-1 0,0 0 0,0 0 0,-2 2 0,-2-1 0,0 0 0,-1 0 0,1 1 0,0-1 0,0 2 0,-6 2 0,-1 6 0,1 0 0,1 1 0,0 0 0,1 0 0,0 1 0,1 0 0,-8 16 0,-8 11 0,19-27 0,-1-1 0,2 1 0,-1 0 0,2 1 0,0-1 0,0 1 0,1-1 0,1 1 0,0 0 0,1-1 0,1 1 0,0 0 0,3 15 0,-4-26 0,1 1 0,0 0 0,0-1 0,0 1 0,0 0 0,0-1 0,1 1 0,0-1 0,0 0 0,0 0 0,0 1 0,0-1 0,0-1 0,1 1 0,-1 0 0,1-1 0,3 3 0,-1-1 0,1 0 0,0-1 0,0 0 0,0 0 0,0-1 0,0 0 0,0 0 0,1 0 0,7 0 0,-4 0 0,-1-1 0,1-1 0,-1 0 0,1 0 0,0-1 0,-1 0 0,1-1 0,-1 0 0,0-1 0,1 1 0,-1-2 0,0 0 0,11-6 0,14-12 0,46-20 0,9-6 0,-61 31-109,-10 4-205,2 1 0,0 2 0,36-15 0,-38 19-6512</inkml:trace>
  <inkml:trace contextRef="#ctx0" brushRef="#br0" timeOffset="1637.92">2818 218 24575,'17'0'0,"0"0"0,0-2 0,0 0 0,0 0 0,31-11 0,-36 8 0,-2 0 0,1 0 0,0-1 0,-1-1 0,0 0 0,-1 0 0,1-1 0,-1 0 0,10-13 0,13-4 0,9-7 0,-40 31 0,1 0 0,-1-1 0,0 1 0,0 0 0,1-1 0,-1 1 0,0-1 0,0 0 0,0 1 0,-1-1 0,1 0 0,0 0 0,-1 1 0,1-1 0,-1 0 0,1 0 0,-1 0 0,0 0 0,0-3 0,0 3 0,-1 0 0,0 1 0,1-1 0,-1 1 0,0-1 0,0 1 0,0 0 0,0-1 0,0 1 0,-1 0 0,1 0 0,0 0 0,0 0 0,-1 0 0,1 0 0,-1 0 0,1 0 0,-1 0 0,1 1 0,-1-1 0,1 1 0,-1-1 0,0 1 0,1 0 0,-1-1 0,0 1 0,1 0 0,-1 0 0,0 0 0,1 0 0,-3 1 0,-53 6 0,42-3 0,0 1 0,0 1 0,0 0 0,1 1 0,0 0 0,-19 14 0,-71 64 0,79-62 0,20-18 0,-1 2 0,1-1 0,0 1 0,1-1 0,-1 1 0,2 1 0,-1-1 0,1 0 0,-1 1 0,2 0 0,-4 13 0,3-7 0,0 1 0,1 0 0,1 0 0,0 0 0,2 22 0,-1-34 0,0 0 0,1 0 0,0-1 0,-1 1 0,1 0 0,0-1 0,0 1 0,1 0 0,-1-1 0,0 0 0,1 1 0,-1-1 0,1 0 0,0 0 0,0 0 0,0 0 0,0 0 0,0 0 0,0-1 0,0 1 0,1-1 0,-1 1 0,1-1 0,-1 0 0,1 0 0,-1 0 0,1 0 0,-1 0 0,1-1 0,4 1 0,9 1 0,0-1 0,1 0 0,-1-2 0,17-1 0,-5 0 0,-8-1 0,0 0 0,1-1 0,-1-1 0,-1-1 0,1-1 0,-1-1 0,0 0 0,-1-2 0,0 0 0,21-16 0,-23 17-341,0 1 0,0 1-1,28-9 1,-26 11-6485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29.46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1 278 24575,'1'26'0,"1"1"0,2-1 0,0 0 0,2 0 0,1 0 0,1-1 0,17 40 0,-2-16 0,1 0 0,49 72 0,24 45 0,-43-72 0,5 12 0,-48-83 0,1-1 0,1 0 0,22 28 0,-35-50 0,1 1 0,-1 0 0,1-1 0,-1 1 0,1-1 0,-1 1 0,1 0 0,-1-1 0,1 1 0,-1-1 0,1 0 0,0 1 0,-1-1 0,1 1 0,0-1 0,0 0 0,-1 0 0,1 1 0,0-1 0,-1 0 0,1 0 0,0 0 0,0 0 0,0 0 0,-1 0 0,1 0 0,0 0 0,0 0 0,-1 0 0,1-1 0,1 1 0,0-2 0,0 1 0,-1-1 0,1 1 0,-1-1 0,1 1 0,-1-1 0,0 0 0,1 0 0,-1 0 0,0 0 0,1-2 0,18-59 0,-10 23 0,-2 11 0,-2 0 0,-1 0 0,3-58 0,-7 64 0,1 1 0,7-33 0,4-38 0,-12-456 0,-3 357 0,3 206 23,1 0 0,0 0 0,5 18-1,1 8-1478,-4-18-5370</inkml:trace>
  <inkml:trace contextRef="#ctx0" brushRef="#br0" timeOffset="561.54">1239 1017 24575,'-9'-1'0,"1"0"0,-1 0 0,1-1 0,-14-5 0,-26-5 0,0 8 0,-1 2 0,-67 6 0,111-4 0,0 1 0,0 1 0,1-1 0,-1 1 0,0 0 0,1 0 0,-1 0 0,1 0 0,0 1 0,0 0 0,0 0 0,0 0 0,0 0 0,0 1 0,1 0 0,0-1 0,0 1 0,0 1 0,0-1 0,0 0 0,1 1 0,0-1 0,0 1 0,0 0 0,0 0 0,-1 9 0,-1 3 0,1 0 0,1 0 0,0 0 0,1 0 0,1 1 0,3 29 0,-2-44 0,-1 0 0,1 0 0,0 0 0,0 0 0,0 0 0,0 0 0,1-1 0,-1 1 0,1 0 0,-1-1 0,1 1 0,0-1 0,0 1 0,0-1 0,0 0 0,1 0 0,-1 0 0,0 0 0,1-1 0,-1 1 0,1-1 0,0 1 0,0-1 0,-1 0 0,1 0 0,0 0 0,0 0 0,0-1 0,6 1 0,10 1 0,0-1 0,0-1 0,34-4 0,-17 1 0,10 2 0,-17 1 0,0-1 0,36-7 0,-54 5 0,0 0 0,0 0 0,0-1 0,-1 0 0,0-1 0,1-1 0,-1 0 0,-1 0 0,11-9 0,-15 11 0,0 0 0,0-1 0,0 0 0,-1 0 0,0 0 0,0-1 0,0 1 0,-1-1 0,1 0 0,-1 0 0,-1 0 0,1-1 0,-1 1 0,2-8 0,-1-5 0,-1 1 0,-1-1 0,-2-34 0,1 42 0,0 0 0,0 0 0,-1 1 0,-1-1 0,1 1 0,-2-1 0,1 1 0,-1 0 0,-1 0 0,-5-12 0,5 16 0,1 1 0,-1 0 0,0 0 0,0 0 0,0 0 0,-1 1 0,1-1 0,-1 1 0,0 1 0,0-1 0,-1 1 0,1 0 0,-1 0 0,0 0 0,1 1 0,-12-3 0,-14-5 0,15 5 0,-1 0 0,1 1 0,-1 1 0,-24-2 0,35 5 0,1 1 0,-1-1 0,0 1 0,0 0 0,0 1 0,1-1 0,-1 1 0,0 0 0,1 1 0,0-1 0,-1 1 0,1 0 0,0 1 0,1-1 0,-1 1 0,-7 7 0,8-7-114,0 1 1,0-1-1,0 1 0,1-1 0,-1 1 1,1 0-1,1 0 0,-1 1 0,0-1 1,1 1-1,-2 9 0,0 4-6712</inkml:trace>
  <inkml:trace contextRef="#ctx0" brushRef="#br0" timeOffset="934.52">1503 3 24575,'0'33'0,"1"-1"0,2 1 0,8 44 0,1-27 0,-4-20 0,-2 1 0,0-1 0,0 38 0,-1-21 0,1 0 0,3 0 0,22 72 0,-27-104 0,45 124 0,-42-116 0,0 0 0,1 0 0,1-1 0,1-1 0,1 0 0,16 24 0,2 14 0,-22-44 0,0-1 0,0 1 0,12 15 0,-16-26 0,-1-1 0,1 1 0,1-1 0,-1 0 0,0 0 0,1 0 0,-1-1 0,1 1 0,0-1 0,-1 0 0,1 0 0,1 0 0,-1 0 0,0-1 0,8 2 0,37 0-1365,-27-3-5461</inkml:trace>
  <inkml:trace contextRef="#ctx0" brushRef="#br0" timeOffset="1246.69">2214 1292 24575,'4'0'0,"7"0"0,1-5 0,2-1 0,0-5 0,2 0 0,2 2 0,3 2 0,-2-2 0,-1 0 0,3 2 0,-4-3 0,1 1 0,-3 1-8191</inkml:trace>
  <inkml:trace contextRef="#ctx0" brushRef="#br0" timeOffset="1963.57">2636 852 24575,'0'4'0,"0"30"0,6 49 0,-5-75 0,0 0 0,1 0 0,0 0 0,0 0 0,0 0 0,1-1 0,0 1 0,1-1 0,-1 0 0,1 0 0,1 0 0,5 7 0,-9-13 0,0 0 0,0 0 0,0 0 0,0 0 0,0 0 0,0-1 0,1 1 0,-1 0 0,0-1 0,0 1 0,1 0 0,-1-1 0,0 0 0,1 1 0,-1-1 0,0 0 0,1 1 0,-1-1 0,0 0 0,1 0 0,-1 0 0,0-1 0,1 1 0,-1 0 0,0 0 0,1-1 0,-1 1 0,0-1 0,1 1 0,-1-1 0,0 0 0,0 1 0,0-1 0,1 0 0,-1 0 0,0 0 0,0 0 0,0 0 0,1-2 0,5-5 0,0-2 0,0 1 0,-1-1 0,6-13 0,4-4 0,24-41 0,-27 44 0,29-38 0,-42 61 0,0 1 0,1-1 0,-1 1 0,1-1 0,-1 0 0,1 1 0,-1-1 0,1 1 0,-1-1 0,1 1 0,0-1 0,-1 1 0,1 0 0,0-1 0,-1 1 0,1 0 0,0-1 0,0 1 0,-1 0 0,1 0 0,0 0 0,0 0 0,-1 0 0,1 0 0,0 0 0,0 0 0,-1 0 0,1 0 0,1 0 0,0 1 0,-1 0 0,1 1 0,-1-1 0,0 0 0,1 0 0,-1 1 0,0-1 0,0 1 0,0-1 0,0 1 0,0-1 0,1 4 0,18 63 0,-16-55 0,-4-10 0,0-1 0,1 1 0,0-1 0,-1 0 0,1 1 0,0-1 0,0 0 0,0 0 0,1 0 0,-1 0 0,0 0 0,1 0 0,-1 0 0,1 0 0,0 0 0,0-1 0,-1 1 0,1-1 0,0 1 0,0-1 0,0 0 0,1 0 0,-1 0 0,0 0 0,0 0 0,1 0 0,-1-1 0,0 1 0,3 0 0,-1-2 0,0 0 0,-1 1 0,1-1 0,-1-1 0,1 1 0,-1 0 0,1-1 0,-1 0 0,0 0 0,0 0 0,1 0 0,-2 0 0,1-1 0,0 1 0,0-1 0,-1 0 0,1 0 0,1-3 0,29-39 0,62-75 0,-94 118 0,0 1 0,1-1 0,-1 1 0,0-1 0,1 1 0,-1 0 0,1-1 0,-1 1 0,1 0 0,0 0 0,-1 0 0,1 0 0,0 1 0,0-1 0,-1 0 0,1 1 0,0-1 0,0 1 0,0 0 0,0 0 0,0 0 0,0 0 0,0 0 0,0 0 0,-1 0 0,1 0 0,0 1 0,0-1 0,0 1 0,0 0 0,0-1 0,-1 1 0,1 0 0,0 0 0,-1 0 0,1 0 0,-1 0 0,1 1 0,-1-1 0,1 1 0,-1-1 0,0 1 0,0-1 0,2 3 0,6 10 0,0 1 0,-1-1 0,-1 1 0,9 25 0,-2-6 0,-11-30 7,-1 1-1,1-1 0,0 0 0,0-1 1,1 1-1,-1-1 0,1 1 1,0-1-1,-1 0 0,1 0 1,0-1-1,1 1 0,-1-1 0,0 0 1,1 0-1,-1 0 0,1-1 1,6 2-1,-2-2-155,0 0 1,0 0-1,0 0 1,0-1-1,0-1 1,0 0-1,0 0 1,0 0-1,9-4 1,0-2-6678</inkml:trace>
  <inkml:trace contextRef="#ctx0" brushRef="#br0" timeOffset="2417.95">3743 661 24575,'-1'-1'0,"1"-1"0,0 1 0,-1 0 0,0 0 0,1 0 0,-1 0 0,0 0 0,1 0 0,-1 0 0,0 0 0,0 0 0,0 0 0,0 0 0,0 0 0,0 0 0,0 1 0,0-1 0,0 1 0,0-1 0,0 1 0,-1-1 0,1 1 0,0-1 0,0 1 0,0 0 0,-1 0 0,-1 0 0,-40-5 0,38 4 0,-4 2 0,0 0 0,0 0 0,0 1 0,1 0 0,-1 1 0,1 0 0,-1 0 0,1 1 0,0 0 0,0 0 0,0 1 0,1 0 0,0 0 0,0 1 0,-10 11 0,12-13 0,1 0 0,0 0 0,0 0 0,0 1 0,0-1 0,1 1 0,0 0 0,0 0 0,0 1 0,1-1 0,0 1 0,0-1 0,0 1 0,0 0 0,1-1 0,0 1 0,0 0 0,1 0 0,-1 0 0,1 0 0,0 0 0,1 0 0,0 0 0,-1 0 0,4 7 0,-3-10 0,1 1 0,1-1 0,-1 0 0,0-1 0,1 1 0,-1 0 0,1-1 0,0 0 0,0 1 0,0-1 0,0 0 0,0-1 0,1 1 0,-1 0 0,0-1 0,1 0 0,-1 0 0,1 0 0,-1 0 0,1-1 0,-1 1 0,1-1 0,0 0 0,-1 0 0,1 0 0,5-2 0,7 1 0,0-1 0,0-1 0,-1-1 0,27-9 0,-27 6 0,0-1 0,25-16 0,28-15 0,-45 27 0,-17 8 0,1 1 0,-1 0 0,1 0 0,-1 0 0,10-1 0,-15 4 0,1 0 0,-1-1 0,1 1 0,-1 0 0,1 0 0,0 0 0,-1 1 0,1-1 0,-1 0 0,1 1 0,-1-1 0,1 1 0,-1-1 0,1 1 0,-1 0 0,0 0 0,1 0 0,-1-1 0,0 1 0,1 1 0,-1-1 0,0 0 0,0 0 0,0 0 0,0 1 0,0-1 0,0 0 0,0 2 0,3 5 0,0-1 0,0 0 0,1-1 0,0 1 0,0-1 0,1 0 0,-1 0 0,1 0 0,0-1 0,1 0 0,-1 0 0,1-1 0,0 0 0,0 0 0,0 0 0,1-1 0,-1-1 0,1 1 0,0-1 0,10 2 0,-5-2-170,0 0-1,0-1 0,1 0 1,-1-1-1,0-1 0,0 0 1,18-4-1,-14-2-6655</inkml:trace>
  <inkml:trace contextRef="#ctx0" brushRef="#br0" timeOffset="2921.14">4587 524 24575,'-10'2'0,"2"0"0,-1 0 0,0 1 0,0 0 0,1 1 0,-1 0 0,1 0 0,0 1 0,1 0 0,-1 0 0,-8 9 0,-39 22 0,25-20 0,-49 37 0,52-34 0,-1 0 0,-32 15 0,-2 5 0,52-31 0,0-1 0,-1 0 0,0 0 0,0-2 0,0 1 0,-13 3 0,23-8 0,-1-1 0,1 0 0,-1 0 0,0 0 0,1 0 0,-1 0 0,1 0 0,-1 0 0,1-1 0,0 1 0,-1-1 0,1 1 0,-1-1 0,1 1 0,-1-1 0,1 0 0,0 0 0,0 0 0,-1 1 0,1-1 0,0-1 0,0 1 0,0 0 0,0 0 0,0 0 0,0 0 0,0-1 0,0 1 0,1-1 0,-1 1 0,0 0 0,1-1 0,-1 1 0,1-1 0,0 1 0,-1-1 0,1 0 0,0 1 0,0-3 0,-2-10 0,1 0 0,0 0 0,1-20 0,1 24 0,-1-5 0,1 0 0,0 0 0,2 0 0,-1 0 0,2 1 0,0-1 0,11-26 0,-13 38 0,-1-1 0,1 1 0,0 0 0,0-1 0,0 1 0,0 0 0,0 1 0,1-1 0,-1 0 0,1 1 0,0-1 0,0 1 0,0 0 0,0 0 0,0 0 0,0 0 0,0 1 0,1-1 0,-1 1 0,1 0 0,-1 0 0,1 0 0,-1 0 0,1 1 0,0 0 0,-1 0 0,1 0 0,-1 0 0,1 0 0,0 1 0,-1-1 0,1 1 0,-1 0 0,1 0 0,-1 1 0,6 2 0,-3-1 0,-1 0 0,0 1 0,1 0 0,-2-1 0,1 2 0,0-1 0,-1 1 0,0-1 0,0 1 0,4 7 0,36 63 0,-17-27 0,-11-21 0,-3-5 0,1-1 0,26 31 0,-35-47 0,-1 0 0,1 0 0,1-1 0,-1 0 0,0 0 0,1 0 0,0 0 0,0-1 0,0 0 0,0 0 0,1-1 0,-1 0 0,1 0 0,8 1 0,-3-3-170,0 1-1,0-2 0,-1 0 1,1 0-1,0-1 0,0-1 1,19-6-1,-13 3-6655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33.2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24575,'11'0'0,"0"1"0,0 0 0,0 0 0,0 1 0,-1 1 0,1 0 0,0 1 0,-1 0 0,19 10 0,-6 1 0,-1 1 0,38 36 0,47 33 0,6 6 0,-7 9 0,-59-54-455,1-3 0,90 62 0,-122-95-6371</inkml:trace>
  <inkml:trace contextRef="#ctx0" brushRef="#br0" timeOffset="436.4">505 586 24575,'5'1'0,"0"1"0,0-1 0,0 2 0,0-1 0,0 0 0,-1 1 0,1 0 0,-1 0 0,0 0 0,1 1 0,-2 0 0,1-1 0,0 1 0,5 8 0,12 9 0,13 9 0,1-2 0,2-2 0,1-1 0,58 27 0,-60-36 0,1-2 0,0-2 0,1-2 0,67 10 0,-90-18 0,0-1 0,0 0 0,0-1 0,26-4 0,-36 3 0,-1 0 0,0 0 0,1-1 0,-1 1 0,0-1 0,0 0 0,0-1 0,0 1 0,0-1 0,-1 0 0,1 0 0,-1 0 0,0 0 0,0 0 0,0-1 0,0 0 0,0 0 0,-1 1 0,1-2 0,1-3 0,13-30 0,-2 0 0,-1-1 0,-2-1 0,10-55 0,-18 58 0,-2 0 0,-2-50 0,-1 71 0,1 52-1365,-1-14-5461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24.26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3094 103 24575,'1'-2'0,"-1"1"0,1 0 0,-1 0 0,1-1 0,0 1 0,0 0 0,0 0 0,0 0 0,0 0 0,0 0 0,0 0 0,0 0 0,0 0 0,0 0 0,0 1 0,1-1 0,-1 0 0,0 1 0,0-1 0,1 1 0,-1-1 0,1 1 0,-1 0 0,0 0 0,1-1 0,-1 1 0,2 0 0,41-3 0,-14 5 0,47 11 0,-23-3 0,-3-2 0,-2 0 0,93 3 0,-140-11 0,30-1 0,1 2 0,-1 1 0,59 12 0,-69-10 0,1-1 0,0-1 0,34-1 0,14 1 0,-68-2 0,-1 0 0,0 0 0,0 0 0,1 0 0,-1 1 0,0-1 0,0 1 0,0 0 0,1 0 0,-1-1 0,0 1 0,0 1 0,0-1 0,-1 0 0,1 0 0,0 1 0,0-1 0,-1 1 0,1-1 0,-1 1 0,1 0 0,-1 0 0,0 0 0,1 0 0,-1 0 0,0 0 0,0 0 0,-1 0 0,1 0 0,0 0 0,-1 1 0,1-1 0,-1 0 0,0 0 0,1 1 0,-1-1 0,0 0 0,0 0 0,-1 1 0,1-1 0,0 0 0,-2 4 0,1 1 0,-1 0 0,0-1 0,-1 1 0,1 0 0,-1-1 0,-1 0 0,1 1 0,-1-1 0,0-1 0,0 1 0,-1 0 0,-8 8 0,-30 20 0,-2 5 0,-79 49 0,3-24 0,-15 10 0,116-62 65,-43 16 0,-11 6-1560,58-24-5331</inkml:trace>
  <inkml:trace contextRef="#ctx0" brushRef="#br0" timeOffset="-2086.22">1 156 24575,'2'6'0,"0"-1"0,0 0 0,1 0 0,0-1 0,0 1 0,0 0 0,1-1 0,-1 0 0,1 0 0,0 0 0,8 6 0,0 1 0,18 24 0,-2 2 0,-2 0 0,23 44 0,-29-48 0,58 91 0,-27-35 0,-41-70 0,1 0 0,0 0 0,1-1 0,18 22 0,7 0 0,-15-14 0,1-2 0,1 0 0,30 21 0,-51-43 0,0 0 0,0 0 0,0-1 0,1 1 0,-1-1 0,0 0 0,1 0 0,-1 0 0,1 0 0,0-1 0,-1 1 0,1-1 0,0 0 0,-1 0 0,1-1 0,-1 1 0,1-1 0,-1 0 0,1 0 0,-1 0 0,1 0 0,-1 0 0,1-1 0,-1 1 0,0-1 0,0 0 0,0 0 0,0-1 0,0 1 0,-1 0 0,1-1 0,3-5 0,9-8 0,-1-2 0,0 1 0,-2-2 0,12-21 0,-21 33 0,58-117 0,-27 60 0,-3-1 0,29-88 0,-37 79 0,-7 21 0,23-52 0,-21 52-25,-16 46-71,0 0 1,0-1-1,0 1 0,1 0 0,0 0 1,0 1-1,1-1 0,0 1 1,0-1-1,0 1 0,1 0 0,0 1 1,7-8-1,6 1-6730</inkml:trace>
  <inkml:trace contextRef="#ctx0" brushRef="#br0" timeOffset="-1552.48">1600 637 24575,'-23'-1'0,"0"2"0,1 1 0,-1 0 0,1 2 0,-1 1 0,-22 7 0,39-9 0,-1-1 0,1 1 0,0 0 0,0 0 0,0 1 0,1 0 0,-1 0 0,1 0 0,0 0 0,0 1 0,0 0 0,1 0 0,-1 1 0,1-1 0,0 1 0,1 0 0,0 0 0,0 0 0,0 1 0,0-1 0,1 1 0,0-1 0,1 1 0,-2 12 0,1-11 0,2-1 0,-1 1 0,1-1 0,0 1 0,1-1 0,0 1 0,0-1 0,1 1 0,-1-1 0,2 0 0,-1 0 0,1 0 0,0 0 0,0 0 0,1 0 0,0-1 0,6 8 0,-3-6 0,1-1 0,0 1 0,0-2 0,1 1 0,0-1 0,0-1 0,0 0 0,1 0 0,0-1 0,-1 0 0,17 4 0,2 0 0,1 0 0,0-3 0,1 0 0,-1-2 0,1-1 0,59-4 0,-82 1 0,0 0 0,1-1 0,-1 0 0,0-1 0,-1 1 0,1-1 0,0-1 0,-1 1 0,1-1 0,-1 0 0,0-1 0,-1 1 0,1-1 0,-1 0 0,0-1 0,0 1 0,0-1 0,-1 0 0,0 0 0,0-1 0,0 1 0,-1-1 0,0 0 0,0 0 0,-1 0 0,2-9 0,1-3 0,0 0 0,-2 0 0,-1-1 0,0 1 0,-1-1 0,-1 1 0,-1 0 0,-1-1 0,-4-20 0,5 34 0,-1-1 0,0 1 0,0-1 0,-1 1 0,0 0 0,0 0 0,0 0 0,-1 1 0,0-1 0,0 1 0,0 0 0,-1 0 0,1 0 0,-1 0 0,0 1 0,-1 0 0,1 0 0,-1 1 0,-10-6 0,5 4 0,-1 1 0,0 0 0,0 1 0,0 0 0,0 1 0,0 0 0,0 1 0,0 1 0,-25 1 0,16 3-1365,3 2-5461</inkml:trace>
  <inkml:trace contextRef="#ctx0" brushRef="#br0" timeOffset="-1144.01">2229 23 24575,'-1'22'0,"-2"0"0,-9 40 0,2-9 0,-1 6 0,5-32 0,2 1 0,-3 46 0,6-1 0,4 122 0,8-118 120,-10-71-269,1 0 1,0 1-1,0-1 1,0 0-1,0 0 1,1 0-1,0-1 1,0 1-1,7 7 1,2-1-6678</inkml:trace>
  <inkml:trace contextRef="#ctx0" brushRef="#br0" timeOffset="32257.98">2675 957 24575,'3'0'0,"1"1"0,-1-1 0,0 1 0,1-1 0,-1 1 0,0 0 0,1 0 0,-1 0 0,0 1 0,0-1 0,0 1 0,0-1 0,0 1 0,-1 0 0,1 0 0,0 1 0,-1-1 0,0 1 0,1-1 0,-1 1 0,0 0 0,0-1 0,0 1 0,-1 0 0,1 0 0,-1 1 0,0-1 0,1 0 0,-1 0 0,-1 1 0,1-1 0,0 5 0,2 14 0,-1-1 0,-1 1 0,0 0 0,-4 24 0,1-10 0,1 334-1365</inkml:trace>
  <inkml:trace contextRef="#ctx0" brushRef="#br0" timeOffset="33149.7">2754 638 24575,'-4'0'0,"-2"4"0,-5 2 0,1-5 0,-3-2 0,4-2 0,10-4 0,8-1 0,7 0 0,1 7 0,-2 8 0,-4 7 0,-8 1 0,-5-2-8191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38.86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273 468 24575,'-58'-2'0,"41"0"0,-1 1 0,1 0 0,0 1 0,0 2 0,-1-1 0,1 2 0,-31 9 0,45-10 0,-1 1 0,1 0 0,0 0 0,0 0 0,0 0 0,0 0 0,0 1 0,1-1 0,-1 1 0,1 0 0,0-1 0,0 1 0,1 0 0,-1 1 0,1-1 0,-1 0 0,1 0 0,1 1 0,-1-1 0,0 0 0,1 1 0,0-1 0,0 1 0,1 5 0,-1 0 0,0 0 0,1 0 0,1 0 0,-1 0 0,2 0 0,-1-1 0,1 1 0,1-1 0,7 18 0,-7-22 0,1 0 0,-1 0 0,1 0 0,0 0 0,0-1 0,0 0 0,0 0 0,1 0 0,0-1 0,-1 0 0,8 3 0,30 19 0,-41-23 3,1-1 0,-1 1 0,0-1 0,0 1 0,0 0 0,-1 0 0,1 0 0,0 0 0,-1 0-1,1 0 1,-1 0 0,0 1 0,1-1 0,-1 1 0,0-1 0,0 1 0,-1-1 0,1 1 0,-1-1 0,1 1 0,-1 0-1,0-1 1,1 1 0,-1 0 0,-1-1 0,1 1 0,0 0 0,-1-1 0,1 1 0,-1 0 0,0-1 0,1 1 0,-1-1 0,-1 0-1,1 1 1,0-1 0,0 0 0,-1 1 0,1-1 0,-3 2 0,-6 7-251,0 0 1,0-1-1,-1 0 1,0-1-1,-21 14 1,18-14-6579</inkml:trace>
  <inkml:trace contextRef="#ctx0" brushRef="#br0" timeOffset="394.31">694 1 24575,'1'39'0,"12"61"0,-7-60 0,2 57 0,-9-19 0,-1-38 0,3 1 0,0-1 0,14 74 0,-10-84 0,4 52 0,-7-51 0,8 46 0,22 75-1365,-29-128-5461</inkml:trace>
  <inkml:trace contextRef="#ctx0" brushRef="#br0" timeOffset="658.85">562 715 24575,'56'-21'0,"83"-3"0,-7-3 0,-63 17-1365,-48 9-5461</inkml:trace>
  <inkml:trace contextRef="#ctx0" brushRef="#br0" timeOffset="1203.04">1246 688 24575,'0'10'0,"-2"-1"0,1 0 0,-1 0 0,-1 0 0,0 0 0,0 0 0,-8 16 0,6-15 0,0 0 0,1 1 0,1-1 0,0 1 0,-3 15 0,5-21 0,1 1 0,-1 0 0,1 0 0,1 1 0,-1-1 0,1-1 0,0 1 0,0 0 0,0 0 0,1 0 0,0 0 0,0-1 0,0 1 0,6 9 0,-5-12 0,0 1 0,0-1 0,0 1 0,0-1 0,1 0 0,0-1 0,-1 1 0,1-1 0,0 1 0,0-1 0,0 0 0,0-1 0,1 1 0,-1-1 0,0 0 0,1 0 0,-1 0 0,0 0 0,7-1 0,11 1 0,0-1 0,-1 0 0,1-2 0,0-1 0,-1-1 0,1 0 0,-1-2 0,0-1 0,36-16 0,-44 17 0,-1 0 0,0-1 0,-1 0 0,0 0 0,12-12 0,-17 14 0,0-2 0,-1 1 0,0 0 0,-1-1 0,1 0 0,-1 0 0,0-1 0,-1 1 0,0-1 0,3-8 0,-2 2 0,-1-1 0,0 1 0,0 0 0,-2-1 0,0 0 0,0 1 0,-1-1 0,-3-19 0,3 29 0,-1 0 0,0 0 0,0 0 0,0 0 0,0 0 0,-1 0 0,1 0 0,-1 1 0,0-1 0,-1 1 0,1-1 0,-1 1 0,0 0 0,0 0 0,0 0 0,0 1 0,-1-1 0,0 1 0,1 0 0,-1-1 0,0 2 0,-1-1 0,1 1 0,0-1 0,-1 1 0,1 0 0,-6-1 0,-25-5 0,12 2 0,-1 1 0,0 0 0,1 2 0,-2 1 0,-28 2 0,51 0-44,-1 0 0,1 1 0,-1-1 0,1 1 0,-1 0 0,1 0 0,0 0 0,-1 0 0,1 0 0,0 0 0,0 1 0,0-1 0,0 1 0,0-1 0,0 1 0,0 0 0,0 0 0,1 0-1,-1 0 1,1 0 0,-1 0 0,1 1 0,0-1 0,0 0 0,0 1 0,0-1 0,0 1 0,1-1 0,-1 1 0,0 2 0,-2 16-6782</inkml:trace>
  <inkml:trace contextRef="#ctx0" brushRef="#br0" timeOffset="1879.89">2193 660 24575,'0'469'0,"5"-415"0,-5-52 0,0 0 0,0 0 0,1-1 0,-1 1 0,1 0 0,-1 0 0,1 0 0,0 0 0,0 0 0,-1-1 0,1 1 0,0 0 0,1-1 0,-1 1 0,0-1 0,0 1 0,1-1 0,-1 1 0,0-1 0,1 0 0,0 0 0,-1 0 0,4 2 0,-4-3 0,0-1 0,0 1 0,0 0 0,-1 0 0,1-1 0,0 1 0,0 0 0,0-1 0,-1 1 0,1-1 0,0 1 0,-1-1 0,1 0 0,0 1 0,-1-1 0,1 0 0,-1 1 0,1-1 0,-1 0 0,1 0 0,-1 1 0,1-1 0,-1 0 0,0 0 0,1 0 0,-1 0 0,0 1 0,0-1 0,0 0 0,1 0 0,-1-2 0,4-33 0,-4 33 0,1-201 0,-2 97 0,-1 86 0,0 0 0,-7-36 0,4 35 0,1-1 0,-1-24 0,4 34 0,1 1 0,0-1 0,1 1 0,0-1 0,1 1 0,0 0 0,8-24 0,-8 32 0,1-1 0,-1 1 0,1-1 0,0 1 0,0 0 0,0 1 0,1-1 0,-1 0 0,1 1 0,0 0 0,0 0 0,0 0 0,0 0 0,0 1 0,1 0 0,-1 0 0,1 0 0,-1 0 0,1 1 0,0 0 0,0 0 0,6-1 0,-4 1 0,0 0 0,0 1 0,-1-1 0,1 1 0,0 1 0,10 1 0,-17-2 0,1 0 0,-1 0 0,0 0 0,1 0 0,-1 1 0,1-1 0,-1 0 0,1 0 0,-1 0 0,1 1 0,-1-1 0,0 0 0,1 0 0,-1 1 0,0-1 0,1 0 0,-1 1 0,0-1 0,1 0 0,-1 1 0,0-1 0,0 1 0,1-1 0,-1 0 0,0 1 0,0-1 0,0 1 0,1-1 0,-1 1 0,0-1 0,0 1 0,0-1 0,0 1 0,0 0 0,-1 1 0,0 0 0,0 0 0,0 0 0,0 0 0,-1-1 0,1 1 0,-1 0 0,1-1 0,-1 1 0,1-1 0,-1 1 0,0-1 0,-2 1 0,0 2 0,-4 2 0,-1 0 0,1 1 0,0 1 0,1-1 0,-8 10 0,14-16 0,0 1 0,0-1 0,1 0 0,-1 1 0,0-1 0,0 0 0,1 1 0,-1-1 0,1 1 0,-1-1 0,1 1 0,0 0 0,-1-1 0,1 1 0,0-1 0,0 1 0,0-1 0,0 1 0,0 0 0,0-1 0,1 1 0,-1-1 0,0 1 0,1-1 0,-1 1 0,1-1 0,0 1 0,-1-1 0,1 1 0,0-1 0,0 0 0,0 0 0,0 1 0,0-1 0,0 0 0,0 0 0,0 0 0,1 0 0,-1 0 0,0 0 0,0-1 0,1 1 0,-1 0 0,3 0 0,15 7-1365,0-3-5461</inkml:trace>
  <inkml:trace contextRef="#ctx0" brushRef="#br0" timeOffset="2269.81">3061 605 24575,'0'-1'0,"-1"0"0,1 0 0,-1-1 0,1 1 0,-1 0 0,0 0 0,1 0 0,-1 0 0,0 0 0,0 0 0,0 0 0,0 0 0,0 0 0,0 1 0,0-1 0,0 0 0,0 1 0,0-1 0,0 0 0,0 1 0,0-1 0,-1 1 0,1 0 0,0 0 0,0-1 0,0 1 0,-3 0 0,-39-5 0,38 5 0,1-1 0,-1 1 0,1 0 0,-1 1 0,1-1 0,0 1 0,-1 0 0,1 0 0,0 0 0,-1 1 0,1-1 0,0 1 0,0 0 0,0 1 0,0-1 0,1 1 0,-1-1 0,1 1 0,-1 0 0,-5 7 0,8-7 0,-1-1 0,1 1 0,-1 0 0,1-1 0,0 1 0,0 0 0,0 0 0,0 0 0,0 0 0,1 0 0,0 0 0,-1 0 0,1 0 0,0 0 0,0 0 0,1 0 0,-1 0 0,0 0 0,1 0 0,0 0 0,0 0 0,0 0 0,0 0 0,0 0 0,0 0 0,1-1 0,-1 1 0,1-1 0,0 1 0,4 4 0,-2-3 0,0-1 0,0 1 0,0-1 0,1 1 0,-1-1 0,1-1 0,0 1 0,0-1 0,0 1 0,0-1 0,0-1 0,0 1 0,1-1 0,-1 0 0,10 0 0,11 1 0,1-2 0,26-3 0,-10 0 0,10 2-1365,-30 1-5461</inkml:trace>
  <inkml:trace contextRef="#ctx0" brushRef="#br0" timeOffset="22317.52">2983 798 24575,'8'0'0,"37"0"0,66 8 0,-97-5 0,1 0 0,-1 0 0,0 1 0,0 1 0,-1 1 0,1 0 0,-1 1 0,20 13 0,-30-17 0,0-1 0,0 1 0,0 0 0,0 0 0,0 0 0,-1 0 0,1 0 0,-1 1 0,0-1 0,0 1 0,-1 0 0,1-1 0,0 1 0,-1 0 0,0 0 0,0 0 0,0 0 0,-1 0 0,1 1 0,-1-1 0,0 0 0,0 0 0,0 0 0,-1 0 0,1 0 0,-1 0 0,-2 8 0,1-6 0,0 0 0,0-1 0,-1 1 0,1-1 0,-1 1 0,0-1 0,-1 0 0,1 0 0,-1 0 0,0-1 0,0 0 0,0 1 0,-1-1 0,1-1 0,-1 1 0,0-1 0,0 0 0,-7 3 0,-8 0-5,-1-2-1,0 0 1,0-1-1,0-2 0,0 0 1,0-1-1,-31-5 1,-18 2-1316,48 2-5505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4:13.30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24119,'0'88'0,"108"-88"0,-108-88 0,-108 88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4:08.11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159 2614 24575,'-5'1'0,"0"-1"0,0 1 0,0 0 0,0 0 0,0 1 0,0 0 0,1-1 0,-1 2 0,0-1 0,1 0 0,-1 1 0,1 0 0,0 0 0,0 0 0,0 1 0,0-1 0,-4 8 0,2-4 0,0 0 0,1 1 0,0 0 0,1 0 0,-1 0 0,2 0 0,-1 1 0,-4 16 0,0 9 0,1 0 0,2 0 0,1 0 0,2 0 0,3 63 0,-1-95 0,0 1 0,0 0 0,1-1 0,-1 1 0,1-1 0,-1 1 0,1-1 0,0 1 0,0-1 0,0 0 0,1 1 0,-1-1 0,0 0 0,1 0 0,0 0 0,-1 0 0,1 0 0,0 0 0,0-1 0,0 1 0,4 2 0,-3-3 0,1 1 0,-1-1 0,1 0 0,0-1 0,-1 1 0,1-1 0,0 1 0,-1-1 0,1 0 0,0 0 0,0-1 0,-1 1 0,6-2 0,3-1 0,-1-1 0,1 0 0,-1-1 0,0 0 0,0-1 0,-1 0 0,1 0 0,9-10 0,180-170 0,-188 173 0,0 0 0,18-25 0,-22 27 0,0 0 0,1 0 0,1 0 0,-1 2 0,18-15 0,-26 23 0,-1 1 0,1 0 0,0-1 0,-1 1 0,1-1 0,-1 1 0,1 0 0,0 0 0,-1-1 0,1 1 0,-1 0 0,1 0 0,0 0 0,-1 0 0,1 0 0,0-1 0,-1 1 0,1 1 0,0-1 0,-1 0 0,1 0 0,0 0 0,-1 0 0,1 0 0,0 1 0,-1-1 0,1 0 0,0 0 0,-1 1 0,1 0 0,10 20 0,-7 35 0,-4-51 0,0 17 0,2 0 0,0-1 0,9 35 0,-9-46 0,1 1 0,1-1 0,0 0 0,0-1 0,1 1 0,0-1 0,0 0 0,1 0 0,10 11 0,1 1 0,-13-16 0,0 0 0,0 0 0,0 0 0,0-1 0,1 0 0,0 0 0,6 4 0,-9-7 0,-1 0 0,1-1 0,0 1 0,0-1 0,-1 0 0,1 1 0,0-1 0,0 0 0,0 0 0,0 0 0,-1 0 0,1 0 0,0-1 0,0 1 0,0-1 0,-1 1 0,1-1 0,0 0 0,-1 1 0,1-1 0,0 0 0,-1 0 0,1 0 0,-1 0 0,1 0 0,-1-1 0,0 1 0,1 0 0,1-3 0,14-17 0,-1 0 0,-1-1 0,0-1 0,-2 0 0,15-35 0,-13 26 0,2 0 0,21-30 0,-25 40-114,-1 1 1,0-1-1,-2-1 0,-1 0 0,-1-1 1,-1 0-1,0 0 0,-2 0 0,-1-1 1,-1 0-1,-1-39 0,-2 41-6712</inkml:trace>
  <inkml:trace contextRef="#ctx0" brushRef="#br0" timeOffset="561.21">1104 2135 24575,'1'8'0,"0"0"0,0 1 0,1-1 0,0 0 0,3 9 0,7 31 0,-7-6 0,-3-9 0,2 1 0,2-1 0,16 57 0,-10-49 0,-2 0 0,6 47 0,6 29 0,-11-60 0,-7-36 0,0 0 0,12 35 0,-11-41 0,0 1 0,-2 1 0,3 18 0,-4-20 0,1 1 0,0-1 0,9 25 0,-11-38 0,-1-1 0,0 0 0,1 0 0,-1 1 0,1-1 0,-1 0 0,1 0 0,-1 0 0,1 0 0,0 0 0,-1 0 0,1 0 0,0 0 0,0 0 0,0 0 0,0 0 0,0-1 0,0 1 0,0 0 0,0-1 0,0 1 0,0 0 0,0-1 0,0 0 0,1 1 0,-1-1 0,0 0 0,0 1 0,1-1 0,0 0 0,0-1 0,1 0 0,-1 0 0,0 0 0,0 0 0,0-1 0,0 1 0,0 0 0,0-1 0,0 0 0,-1 1 0,1-1 0,0 0 0,-1 0 0,2-3 0,8-11 0,-2-2 0,15-31 0,-24 47 0,91-186 0,-60 129 0,-22 41 0,1 1 0,1 0 0,1 1 0,0 0 0,0 1 0,2 0 0,0 1 0,1 1 0,22-17 0,-35 29 0,-1 0 0,1 0 0,0 0 0,-1 0 0,1 0 0,0 0 0,0 0 0,-1 1 0,1-1 0,0 1 0,0-1 0,0 1 0,0 0 0,0 0 0,0 0 0,0 0 0,0 0 0,0 0 0,-1 0 0,1 1 0,0-1 0,0 1 0,0-1 0,0 1 0,-1 0 0,4 1 0,-3 1 0,1 0 0,0-1 0,-1 1 0,0 0 0,1 1 0,-1-1 0,0 0 0,-1 1 0,1-1 0,-1 1 0,1-1 0,0 7 0,3 10 0,-2 1 0,0-1 0,0 41 0,-6 51 0,4 98 0,-1-208 0,0 0 0,0 0 0,0 0 0,1 0 0,-1 0 0,0 0 0,1 0 0,0 0 0,-1 0 0,1 0 0,0-1 0,0 1 0,0 0 0,0 0 0,0-1 0,1 1 0,-1-1 0,0 1 0,1-1 0,-1 1 0,1-1 0,0 0 0,-1 0 0,1 0 0,0 0 0,0 0 0,-1 0 0,1 0 0,0-1 0,0 1 0,0-1 0,0 1 0,0-1 0,0 0 0,3 1 0,0-2 0,-1 1 0,0-1 0,1 0 0,-1 0 0,0 0 0,0 0 0,0-1 0,0 0 0,0 0 0,0 0 0,0 0 0,-1-1 0,1 1 0,-1-1 0,6-5 0,20-19-1365,-14 17-5461</inkml:trace>
  <inkml:trace contextRef="#ctx0" brushRef="#br0" timeOffset="1077.08">2155 2935 24575,'19'0'0,"10"0"0,-1 0 0,56-10 0,-74 8 0,0-1 0,-1 0 0,1 0 0,-1-1 0,0 0 0,0-1 0,-1 0 0,1-1 0,-1 0 0,0 0 0,-1 0 0,9-10 0,-4 3 0,0-1 0,-1-1 0,0 1 0,12-26 0,-20 35 0,0 0 0,-1-1 0,1 0 0,-1 1 0,-1-1 0,1 0 0,-1 0 0,0 0 0,0 0 0,-1 0 0,0 0 0,0 0 0,0 0 0,-1 0 0,1 0 0,-1 0 0,-3-8 0,3 12 0,1 0 0,-1 1 0,0-1 0,0 0 0,0 1 0,0-1 0,0 0 0,0 1 0,0-1 0,0 1 0,-1 0 0,1-1 0,0 1 0,-1 0 0,1 0 0,-1 0 0,0 0 0,1 0 0,-1 0 0,0 1 0,0-1 0,1 0 0,-3 0 0,0 1 0,0 0 0,0 0 0,1 0 0,-1 1 0,0-1 0,1 1 0,-1 0 0,0 0 0,1 0 0,-1 0 0,-3 3 0,-5 2 0,1 1 0,-1 0 0,2 1 0,-1 0 0,-15 15 0,14-7 0,0 0 0,0 1 0,2 0 0,0 0 0,1 1 0,-7 20 0,-5 9 0,17-39 0,0 1 0,1 0 0,0 1 0,0-1 0,1 1 0,0-1 0,1 1 0,0-1 0,1 1 0,0 0 0,0 0 0,1-1 0,0 1 0,1 0 0,3 12 0,-3-17 0,0 0 0,0 0 0,0 0 0,1 0 0,-1-1 0,1 1 0,0-1 0,1 1 0,-1-1 0,1-1 0,0 1 0,0 0 0,0-1 0,0 0 0,1 0 0,-1 0 0,1 0 0,-1-1 0,1 0 0,0 0 0,0 0 0,0 0 0,0-1 0,1 0 0,-1 0 0,0-1 0,0 1 0,11-2 0,-2-1 0,-1 0 0,1-2 0,-1 1 0,1-2 0,-1 0 0,0 0 0,-1-2 0,0 1 0,21-16 0,36-16 0,-50 28-195,0 0 0,0-1 0,-1-1 0,0-1 0,-1-1 0,25-26 0,-31 28-6631</inkml:trace>
  <inkml:trace contextRef="#ctx0" brushRef="#br0" timeOffset="1513.93">2811 2775 24575,'-2'76'0,"0"-47"0,1 1 0,1-1 0,1 1 0,8 39 0,-9-67 0,0 0 0,1-1 0,-1 1 0,0 0 0,1 0 0,-1 0 0,1-1 0,0 1 0,-1 0 0,1-1 0,0 1 0,0 0 0,0-1 0,0 1 0,1-1 0,-1 0 0,0 1 0,0-1 0,1 0 0,-1 0 0,1 0 0,-1 0 0,4 2 0,-3-3 0,-1-1 0,1 1 0,0 0 0,0-1 0,-1 1 0,1-1 0,0 1 0,-1-1 0,1 0 0,-1 0 0,1 0 0,-1 0 0,1 0 0,-1 0 0,1 0 0,-1 0 0,0 0 0,0-1 0,2-1 0,7-10 0,0-1 0,-1-1 0,14-28 0,-9 12 0,28-53 0,-38 78 0,0-1 0,1 1 0,0 0 0,0 0 0,0 0 0,0 1 0,1 0 0,0 0 0,10-6 0,-14 10 0,0 0 0,0 0 0,0 0 0,0 0 0,0 1 0,0-1 0,0 1 0,0-1 0,0 1 0,0 0 0,1 0 0,-1 0 0,0 0 0,0 0 0,0 1 0,0-1 0,0 0 0,1 1 0,-1 0 0,0 0 0,3 1 0,-1 1 0,0 0 0,1 0 0,-1 0 0,-1 0 0,1 1 0,0 0 0,-1 0 0,6 8 0,-1 0 0,-2 0 0,1 1 0,-1-1 0,-1 1 0,-1 0 0,5 18 0,16 77-1365,-22-88-5461</inkml:trace>
  <inkml:trace contextRef="#ctx0" brushRef="#br0" timeOffset="-5786.07">3836 589 24575,'-4'-1'0,"0"1"0,0 1 0,0-1 0,0 1 0,1-1 0,-1 1 0,0 0 0,0 1 0,1-1 0,-1 1 0,1-1 0,-1 1 0,1 0 0,0 0 0,-6 6 0,5-4 0,0 0 0,1 1 0,-1 0 0,1 0 0,0 0 0,1 1 0,-1-1 0,1 0 0,0 1 0,-2 7 0,-1 17 0,0 1 0,2 0 0,1 0 0,2 0 0,4 41 0,-1 17 0,-3-81 0,0 1 0,0-1 0,1 1 0,0-1 0,0 0 0,1 1 0,0-1 0,0 0 0,1 0 0,0 0 0,0 0 0,1-1 0,0 1 0,1-1 0,-1 0 0,1 0 0,1 0 0,-1-1 0,1 0 0,9 7 0,-12-9 0,0-1 0,1 0 0,-1 0 0,1 0 0,0 0 0,0-1 0,0 1 0,0-1 0,0 0 0,0 0 0,1-1 0,-1 0 0,0 1 0,1-1 0,7 0 0,-8-1 0,1-1 0,-1 0 0,0 0 0,0-1 0,0 1 0,-1-1 0,1 0 0,0 0 0,0 0 0,-1 0 0,0-1 0,1 1 0,-1-1 0,0 0 0,0 0 0,0 0 0,3-5 0,12-14 0,2 0 0,-1-1 0,-1-1 0,29-51 0,-7-1 0,-29 59 0,-1 0 0,-1 0 0,-1-1 0,0 0 0,-1-1 0,-1 1 0,-1-1 0,4-30 0,-5-10 0,-8-119 0,-9 131 0,0 34 0,13 13 0,-1 0 0,0 0 0,0 0 0,1 1 0,-1-1 0,0 0 0,1 1 0,-1-1 0,0 1 0,1-1 0,-1 0 0,0 1 0,1-1 0,-1 1 0,1 0 0,-1-1 0,1 1 0,-1-1 0,1 1 0,-1 0 0,1 0 0,0-1 0,-1 1 0,1 0 0,0-1 0,-1 3 0,-4 7-114,0 0 1,1 0-1,0 1 0,0 0 0,1-1 1,1 1-1,0 1 0,0-1 0,1 0 1,0 0-1,2 18 0,3-12-6712</inkml:trace>
  <inkml:trace contextRef="#ctx0" brushRef="#br0" timeOffset="-5174.17">4440 828 24575,'1'1'0,"0"-1"0,0 0 0,0 1 0,0-1 0,0 1 0,0-1 0,-1 1 0,1-1 0,0 1 0,0-1 0,0 1 0,-1 0 0,1 0 0,0-1 0,-1 1 0,1 0 0,-1 0 0,1 0 0,-1 0 0,1 0 0,-1 0 0,1-1 0,-1 1 0,0 0 0,1 2 0,7 32 0,-4-18 0,17 75 0,-17-70 0,1 0 0,0-1 0,14 34 0,-4-18 0,-2 1 0,-1 0 0,-2 1 0,-2 1 0,-1 0 0,-2-1 0,-1 74 0,-3-93 0,1 0 0,8 37 0,-5-35 0,-1 0 0,0 23 0,-4 105 0,-3-179 0,-2 0 0,-1 1 0,-10-34 0,-6-23 0,-3 8 0,19 63 0,1 1 0,0-1 0,1 0 0,1 0 0,-3-25 0,-7-58 0,7 68 0,2 1 0,0-31 0,5-503 0,-1 554 0,0 0 0,1 0 0,0 1 0,0-1 0,1 0 0,0 0 0,0 1 0,1-1 0,0 1 0,0 0 0,1 0 0,0 0 0,0 0 0,0 0 0,1 1 0,0 0 0,1 0 0,-1 0 0,1 1 0,0 0 0,0 0 0,1 1 0,-1-1 0,1 1 0,0 1 0,0-1 0,0 1 0,1 1 0,-1-1 0,1 1 0,14-2 0,8-2 0,28-4 0,-56 9 0,-1 1 0,1 0 0,-1 0 0,1 0 0,-1 0 0,1 0 0,-1 1 0,1-1 0,-1 0 0,0 1 0,1-1 0,-1 1 0,1-1 0,-1 1 0,0 0 0,0 0 0,1 0 0,-1-1 0,0 1 0,0 0 0,0 0 0,0 0 0,0 1 0,0-1 0,0 0 0,0 0 0,0 1 0,-1-1 0,2 3 0,-2-2 0,0 1 0,0-1 0,0 0 0,0 1 0,-1-1 0,1 1 0,-1-1 0,1 0 0,-1 1 0,0-1 0,0 0 0,0 0 0,0 0 0,0 1 0,0-1 0,-3 2 0,-29 38 0,25-33 0,-21 23 0,-36 29 0,40-40 0,1 2 0,2 1 0,-23 29 0,44-52-49,0 1 1,0-1-1,0 1 0,0-1 0,0 0 1,0 1-1,0 0 0,1-1 0,-1 1 1,0-1-1,1 1 0,0 0 0,-1 0 1,1-1-1,0 1 0,0 0 0,0 0 1,0-1-1,0 1 0,0 0 0,0 0 1,0-1-1,1 1 0,-1 0 0,1-1 0,-1 1 1,2 2-1,8 5-6777</inkml:trace>
  <inkml:trace contextRef="#ctx0" brushRef="#br0" timeOffset="-4268.66">5438 1 24575,'0'482'0,"1"-456"0,2-1 0,1 0 0,1 1 0,1-1 0,12 33 0,67 182 0,-54-164 0,-28-89 0,-5-12 0,0 16 0,0 1 0,-1-1 0,-1 0 0,1 1 0,-1 0 0,-1 0 0,1 0 0,-2 1 0,1-1 0,-1 1 0,0 0 0,0 1 0,0 0 0,-1 0 0,0 0 0,-8-5 0,-2-1 0,-1-2 0,-1 1 0,0 1 0,-1 1 0,-1 0 0,-22-7 0,38 16 0,-1 0 0,1 1 0,-1 0 0,1 0 0,-1 0 0,0 1 0,1 0 0,-1 0 0,0 0 0,1 1 0,-1 0 0,0 0 0,1 0 0,-1 1 0,1 0 0,0 0 0,0 0 0,-1 1 0,1-1 0,1 1 0,-1 1 0,0-1 0,1 1 0,0 0 0,-1 0 0,-2 4 0,-1 1 0,1 1 0,0 0 0,1 0 0,0 0 0,0 1 0,1 0 0,-6 22 0,0 5 0,-5 43 0,4-15 0,8-50 0,1 0 0,1 1 0,0-1 0,1 24 0,1-37 0,0 0 0,0 0 0,0 0 0,1 0 0,-1 0 0,1 0 0,0 0 0,0 0 0,0 0 0,0 0 0,0-1 0,0 1 0,1 0 0,0-1 0,-1 1 0,1-1 0,0 1 0,0-1 0,0 0 0,0 0 0,1 0 0,-1 0 0,1 0 0,-1-1 0,1 1 0,-1-1 0,1 1 0,0-1 0,0 0 0,5 1 0,2 0 0,0-1 0,0 0 0,0-1 0,0 0 0,0-1 0,0 0 0,0 0 0,0-1 0,17-6 0,0-2 0,-1-2 0,28-16 0,-29 14 0,-17 9 0,1-1 0,-2 0 0,1-1 0,11-12 0,26-20 0,-25 24 0,-1 0 0,-1-1 0,-1-2 0,0 1 0,24-35 0,9-8 0,-50 59 0,1 0 0,0 0 0,-1 1 0,1-1 0,0 0 0,0 0 0,0 1 0,0-1 0,0 1 0,0-1 0,0 1 0,0-1 0,0 1 0,0 0 0,0-1 0,0 1 0,0 0 0,0 0 0,0 0 0,1 0 0,-1 0 0,0 0 0,0 0 0,0 0 0,1 0 0,1 1 0,-1 0 0,0 1 0,1-1 0,-1 0 0,0 1 0,0-1 0,0 1 0,0 0 0,0-1 0,2 5 0,3 3 0,0 0 0,-1 1 0,9 19 0,-13-24 9,0-1-1,0 0 1,1 1-1,-1-1 1,1 0 0,0-1-1,0 1 1,0 0-1,1-1 1,-1 0-1,1 1 1,0-1-1,5 3 1,-3-3-174,1-1 0,-1 0 0,1 0 0,-1-1 0,1 1 0,0-1 0,-1-1 0,14 1 0,3-1-6661</inkml:trace>
  <inkml:trace contextRef="#ctx0" brushRef="#br0" timeOffset="-3579.31">6382 722 24575,'-8'-1'0,"0"0"0,0 0 0,0-1 0,0 0 0,-8-4 0,-32-6 0,-10 7 0,-1 3 0,-88 7 0,141-4 0,-1 1 0,0 0 0,1 0 0,-1 0 0,1 1 0,0 0 0,-1 0 0,1 1 0,1 0 0,-1 0 0,1 0 0,-1 1 0,1-1 0,0 1 0,1 0 0,-1 1 0,1-1 0,0 1 0,0 0 0,1 0 0,-3 7 0,-6 14 0,0 0 0,2 1 0,-10 46 0,19-70 0,0-1 0,0 1 0,0-1 0,1 1 0,-1 0 0,1 0 0,0-1 0,0 1 0,0 0 0,1-1 0,-1 1 0,1 0 0,0-1 0,0 1 0,0-1 0,1 1 0,-1-1 0,1 1 0,0-1 0,2 3 0,-2-3 0,1-1 0,-1 0 0,1 0 0,0-1 0,0 1 0,-1 0 0,1-1 0,0 0 0,0 0 0,1 0 0,-1 0 0,0 0 0,0-1 0,0 1 0,1-1 0,-1 0 0,0 0 0,0 0 0,1 0 0,-1-1 0,0 1 0,0-1 0,5-1 0,4-2 0,1-1 0,-1-1 0,0 1 0,0-2 0,19-13 0,-18 11 0,1 0 0,1 1 0,19-9 0,-12 8 0,-1-1 0,36-25 0,-46 27 0,2-1 0,-1 2 0,1 0 0,0 0 0,0 1 0,0 1 0,1 0 0,0 1 0,0 0 0,18-1 0,-29 5 0,1 0 0,-1 0 0,0 0 0,0 1 0,1-1 0,-1 1 0,0 0 0,0 0 0,0 0 0,0 0 0,0 1 0,0-1 0,0 1 0,0 0 0,-1 0 0,1 0 0,-1 0 0,1 0 0,-1 0 0,4 5 0,-1 2 0,1 1 0,-1-1 0,-1 1 0,0 0 0,3 11 0,19 40 0,-24-58 0,0 1 0,0-1 0,1 1 0,0-1 0,0 0 0,-1 0 0,2 0 0,-1 0 0,0-1 0,1 1 0,-1-1 0,8 4 0,-8-5 0,1 1 0,-1-1 0,1 0 0,0-1 0,0 1 0,-1-1 0,1 1 0,0-1 0,-1 0 0,1 0 0,0-1 0,0 1 0,-1-1 0,1 0 0,0 0 0,-1 0 0,1-1 0,-1 1 0,0-1 0,6-3 0,4-4 0,0-1 0,-1 0 0,19-21 0,7-5 0,-23 22-1365,-3 1-5461</inkml:trace>
  <inkml:trace contextRef="#ctx0" brushRef="#br0" timeOffset="-3171.64">6856 135 24575,'0'49'0,"-2"11"0,4 1 0,13 90 0,13-7 0,-23-119 39,-2 1 1,1 42-1,-3-43-534,1 0 1,8 45 0,-5-51-6332</inkml:trace>
  <inkml:trace contextRef="#ctx0" brushRef="#br0" timeOffset="-2842.23">6462 589 24575,'500'0'0,"-488"-2"0,0 1 0,0-1 0,0-1 0,-1 0 0,1-1 0,-1 0 0,0 0 0,20-12 0,17-7 0,-32 19-1365,-4 4-5461</inkml:trace>
  <inkml:trace contextRef="#ctx0" brushRef="#br0" timeOffset="-2546.45">7407 828 24575,'0'5'0,"0"5"0,0 7 0,0 4 0,0-6 0,0-10 0,0-10 0,0-9 0,0-2-8191</inkml:trace>
  <inkml:trace contextRef="#ctx0" brushRef="#br0" timeOffset="-2342.84">7354 321 24575,'0'5'0,"0"5"0,0 7 0,0 4 0,0 3 0,0 2 0,5-3 0,1-1 0,-1-5-8191</inkml:trace>
  <inkml:trace contextRef="#ctx0" brushRef="#br0" timeOffset="-1858.01">7643 615 24575,'1'15'0,"1"1"0,0 0 0,2-1 0,-1 1 0,11 24 0,-8-22 0,0 1 0,-1-1 0,3 25 0,-8-39 0,1 3 0,-1 0 0,1 0 0,0 0 0,1 0 0,0 0 0,0-1 0,0 1 0,6 11 0,-8-18 0,1 0 0,-1-1 0,1 1 0,-1 0 0,1 0 0,-1-1 0,0 1 0,1 0 0,-1-1 0,0 1 0,1-1 0,-1 1 0,0 0 0,1-1 0,-1 1 0,0-1 0,0 1 0,1-1 0,-1 1 0,0-1 0,0 1 0,0-1 0,0 1 0,0-1 0,0 1 0,0-1 0,0 1 0,0-1 0,0 1 0,0-1 0,0 1 0,0-2 0,4-26 0,-4 25 0,3-16 0,1-1 0,1 1 0,0-1 0,2 2 0,0-1 0,1 1 0,1 0 0,1 0 0,0 1 0,1 1 0,1 0 0,0 0 0,2 1 0,-1 1 0,30-24 0,-31 31 0,1 0 0,0 0 0,1 1 0,0 1 0,0 0 0,0 1 0,0 1 0,0 0 0,1 1 0,17 0 0,-30 2 0,0 0 0,0 0 0,1 1 0,-1-1 0,0 1 0,0-1 0,0 1 0,0 0 0,0 0 0,0 0 0,0 0 0,0 0 0,0 1 0,0-1 0,0 1 0,-1-1 0,1 1 0,-1-1 0,3 4 0,-1 0 0,1 0 0,-1 1 0,0 0 0,-1 0 0,0-1 0,4 14 0,-2 3 0,0 0 0,1 45 0,-4-45-341,1 0 0,1 0-1,7 29 1,-6-32-6485</inkml:trace>
  <inkml:trace contextRef="#ctx0" brushRef="#br0" timeOffset="-1129.19">8720 482 24575,'-4'-3'0,"-1"0"0,1 1 0,1-2 0,-1 1 0,0 0 0,1-1 0,-6-7 0,-8-6 0,14 14 0,-1 0 0,0 1 0,0-1 0,0 1 0,0 0 0,-1 0 0,1 0 0,0 1 0,-1-1 0,1 1 0,-1 0 0,0 1 0,1-1 0,-1 1 0,-4 0 0,6 0 0,1 1 0,-1-1 0,0 1 0,1-1 0,-1 1 0,1 0 0,0 0 0,-1 0 0,1 1 0,0-1 0,-1 0 0,1 1 0,0 0 0,0-1 0,0 1 0,0 0 0,1 0 0,-1 0 0,0 0 0,1 0 0,-1 1 0,1-1 0,0 0 0,0 1 0,0-1 0,0 1 0,-1 4 0,-7 27 0,2 0 0,1 1 0,1 0 0,2 0 0,2 0 0,3 49 0,-2-82 0,0 0 0,0 0 0,1 0 0,-1 0 0,0 0 0,1 0 0,-1 0 0,1 0 0,-1 0 0,1 0 0,0 0 0,0 0 0,0 0 0,0-1 0,0 1 0,0 0 0,1-1 0,-1 1 0,0-1 0,1 0 0,1 2 0,-1-2 0,0-1 0,-1 1 0,1-1 0,0 0 0,-1 0 0,1 0 0,0 0 0,-1 0 0,1 0 0,0-1 0,-1 1 0,1 0 0,0-1 0,-1 1 0,1-1 0,-1 0 0,1 0 0,-1 1 0,3-3 0,8-6 0,0 0 0,-1-1 0,0-1 0,12-13 0,-21 21 0,43-43 0,-27 30 0,-2-1 0,0-1 0,17-25 0,-33 41 0,1 1 0,0-1 0,0 1 0,0-1 0,0 1 0,0-1 0,0 1 0,0 0 0,0-1 0,0 1 0,1 0 0,-1 0 0,1 0 0,-1 0 0,0 0 0,1 0 0,0 0 0,-1 1 0,1-1 0,-1 1 0,1-1 0,0 1 0,-1-1 0,1 1 0,3 0 0,-3 1 0,0 0 0,0 0 0,0 0 0,0 0 0,0 0 0,0 1 0,0-1 0,0 1 0,-1-1 0,1 1 0,0 0 0,-1-1 0,0 1 0,1 0 0,-1 0 0,2 3 0,5 12 0,0 0 0,-1 1 0,7 29 0,-1-4 0,2 0 0,1 0 0,2-2 0,41 68 0,-45-86 0,-2 1 0,0 1 0,-1 0 0,-1 0 0,-1 1 0,-2 0 0,7 44 0,-13-68 0,-1 0 0,0 1 0,0-1 0,0 0 0,0 0 0,0 0 0,-1 0 0,1 1 0,-1-1 0,1 0 0,-1 0 0,0 0 0,0 0 0,0 0 0,0 0 0,0-1 0,0 1 0,-1 0 0,1 0 0,0-1 0,-1 1 0,1-1 0,-1 1 0,0-1 0,1 0 0,-1 1 0,0-1 0,0 0 0,0 0 0,0-1 0,0 1 0,0 0 0,0-1 0,0 1 0,0-1 0,0 1 0,-4-1 0,-11 2 0,1-1 0,-1-1 0,-32-3 0,23 1 0,-9 0 0,9 0 0,0 2 0,0 0 0,-39 6 0,58-5 0,0 1 0,0 0 0,0 0 0,0 0 0,0 1 0,1 0 0,-1 0 0,1 1 0,0 0 0,0 0 0,0 1 0,1-1 0,-1 1 0,1 0 0,0 1 0,1-1 0,-7 10 0,9-11-54,-16 25-602,-27 55 1,38-66-6171</inkml:trace>
  <inkml:trace contextRef="#ctx0" brushRef="#br0" timeOffset="2810.03">5174 2374 24575,'1'31'0,"2"-1"0,0 1 0,2-1 0,1-1 0,17 51 0,0-20 0,51 94 0,19 2 0,-49-86 0,-27-41 0,1-2 0,35 43 0,-52-68 0,1 0 0,-1 0 0,1-1 0,0 1 0,0 0 0,-1 0 0,1-1 0,0 1 0,0-1 0,1 0 0,-1 0 0,0 0 0,0 0 0,1 0 0,-1 0 0,0 0 0,1-1 0,-1 1 0,1-1 0,-1 0 0,0 1 0,1-1 0,-1-1 0,1 1 0,-1 0 0,1 0 0,-1-1 0,1 0 0,-1 1 0,0-1 0,1 0 0,-1 0 0,4-3 0,-1 0 0,1-1 0,-1 0 0,0 0 0,-1-1 0,1 0 0,-1 0 0,0 0 0,0 0 0,-1 0 0,4-11 0,22-46 0,-4-1 0,33-125 0,-32 107 0,0 7 0,44-231 0,-67 285 0,-3 17 0,0 1 0,1-1 0,-1 0 0,1 1 0,0-1 0,0 0 0,0 1 0,0-1 0,0 1 0,1 0 0,0-1 0,0 1 0,3-4 0,-5 7 0,1 0 0,0 1 0,0-1 0,-1 0 0,1 1 0,0-1 0,0 0 0,-1 1 0,1-1 0,0 1 0,-1-1 0,1 1 0,-1 0 0,1-1 0,-1 1 0,1 0 0,-1-1 0,1 1 0,-1 0 0,1-1 0,-1 1 0,0 0 0,0 0 0,1 0 0,-1 1 0,11 23 0,-5-5-1365,-1 0-5461</inkml:trace>
  <inkml:trace contextRef="#ctx0" brushRef="#br0" timeOffset="3357.99">6331 2908 24575,'-56'-21'0,"44"19"0,0 1 0,0-1 0,0 2 0,0 0 0,0 1 0,-1 0 0,1 0 0,0 1 0,1 1 0,-1 0 0,0 1 0,-12 6 0,18-7 0,0 0 0,0 1 0,0-1 0,1 2 0,-1-1 0,1 0 0,0 1 0,0 0 0,0 1 0,1-1 0,0 1 0,0-1 0,0 1 0,1 1 0,0-1 0,0 0 0,0 1 0,1-1 0,0 1 0,0 0 0,1 0 0,-1 12 0,-1 10 0,1 0 0,1 1 0,2 0 0,1-1 0,6 32 0,-7-57 0,0-1 0,0 0 0,0 0 0,0 0 0,1 0 0,0 0 0,-1 0 0,1-1 0,0 1 0,0 0 0,1-1 0,-1 0 0,0 1 0,1-1 0,0 0 0,-1 0 0,6 2 0,-3-1 0,1-1 0,0 0 0,-1 0 0,1 0 0,0-1 0,0 0 0,0 0 0,0-1 0,8 1 0,-4-2 0,-1 1 0,0-1 0,1-1 0,-1 0 0,0 0 0,0-1 0,0 0 0,0 0 0,-1-1 0,1 0 0,-1-1 0,13-9 0,-8 0 0,0-1 0,-2-1 0,0 0 0,0-1 0,-1 0 0,-2 0 0,14-37 0,-9 24 0,-8 16 0,-1 1 0,0-1 0,-1-1 0,-1 1 0,0 0 0,0-25 0,-8-86 0,6 122 0,0 1 0,0-1 0,-1 1 0,1-1 0,-1 1 0,1 0 0,-1-1 0,0 1 0,0 0 0,0-1 0,0 1 0,0 0 0,-1 0 0,1 0 0,-1 0 0,1 0 0,-1 0 0,0 0 0,1 1 0,-1-1 0,0 1 0,0-1 0,0 1 0,0 0 0,-1 0 0,1-1 0,0 2 0,0-1 0,-1 0 0,1 0 0,-1 1 0,1-1 0,0 1 0,-1 0 0,1 0 0,-1 0 0,1 0 0,-1 0 0,1 0 0,-4 2 0,-1-1 0,-1 1 0,0 0 0,0 1 0,1 0 0,-1 0 0,1 0 0,0 1 0,0 0 0,1 1 0,-1-1 0,-7 8 0,9-7-195,0 0 0,1 0 0,0 0 0,0 0 0,0 1 0,-5 10 0,2 0-6631</inkml:trace>
  <inkml:trace contextRef="#ctx0" brushRef="#br0" timeOffset="3761.6">6540 2241 24575,'-2'140'0,"5"148"0,1-262 0,1-1 0,12 38 0,-10-40 0,-1-1 0,-1 1 0,3 35 0,-5-29 0,1 0 0,1 0 0,1-1 0,20 53 0,-17-63-1365,0-5-5461</inkml:trace>
  <inkml:trace contextRef="#ctx0" brushRef="#br0" timeOffset="4524.44">7118 3121 24575,'0'482'0,"0"-473"0,0 0 0,-1-1 0,0 1 0,0 0 0,-1 0 0,0-1 0,-1 1 0,1-1 0,-2 1 0,-5 10 0,9-18-21,0-1 0,-1 1-1,1-1 1,0 1 0,0-1-1,-1 1 1,1-1 0,0 0-1,-1 1 1,1-1 0,0 0-1,-1 1 1,1-1 0,-1 0-1,1 1 1,-1-1 0,1 0-1,0 0 1,-1 0 0,1 1-1,-1-1 1,1 0 0,-1 0-1,1 0 1,-1 0 0,1 0-1,-1 0 1,1 0 0,-1 0-1,1 0 1,-1 0 0,1 0-1,-1 0 1,1 0 0,-1-1-1,1 1 1,-1 0 0,1 0-1,-1 0 1,1-1 0,-1 1-1,1 0 1,0-1 0,-1 1-1,1 0 1,0-1 0,-1 1-1,1-1 1,0 1 0,-1 0-1,1-1 1,0 1 0,0-1-1,-1 1 1,1-1 0,0 1-1,0-1 1,0 1 0,0-1-1,0 1 1,0-1 0,0 1-1,0-1 1,-4-13-6805</inkml:trace>
  <inkml:trace contextRef="#ctx0" brushRef="#br0" timeOffset="6243.12">7853 2162 24575,'2'5'0,"1"0"0,-1 0 0,1 0 0,0 0 0,0 0 0,0-1 0,1 1 0,-1-1 0,1 0 0,0 0 0,9 6 0,-2 1 0,6 4 0,1-1 0,1 0 0,0-2 0,34 17 0,-2 0 0,-12-8 0,72 28 0,-67-32 0,54 31 0,-72-34 0,-18-10 0,0 0 0,0 1 0,0 0 0,11 10 0,-16-12 0,0 0 0,-1 0 0,1 1 0,-1-1 0,0 0 0,0 1 0,0 0 0,-1-1 0,1 1 0,-1 0 0,0 0 0,0 0 0,0 0 0,1 6 0,-2-2 0,1 0 0,-2 0 0,1 0 0,-1 0 0,0 0 0,0 0 0,-1 0 0,0 0 0,0 0 0,-1 0 0,0-1 0,-1 1 0,1-1 0,-1 0 0,-1 0 0,1-1 0,-8 9 0,-9 7 0,-1 0 0,-1-1 0,-33 23 0,-13 11 0,-63 52 0,80-70-1365,38-26-5461</inkml:trace>
  <inkml:trace contextRef="#ctx0" brushRef="#br0" timeOffset="8057.02">9035 2775 24575,'-7'2'0,"0"0"0,-1 1 0,1 1 0,0-1 0,1 1 0,-1 0 0,-7 7 0,10-9 0,-6 5 0,-23 15 0,1 2 0,-44 41 0,7-9 0,19-18 0,37-27 0,-4 2 0,1 2 0,0 0 0,-16 21 0,21-24 0,0-1 0,-1 0 0,0 0 0,-14 8 0,-30 27 0,37-29 0,0-1 0,-28 17 0,-19 16 0,38-26-1365,16-12-5461</inkml:trace>
  <inkml:trace contextRef="#ctx0" brushRef="#br0" timeOffset="10884.33">9560 1868 24575,'-1'34'0,"-11"55"0,-1 15 0,10-60 0,2 0 0,2 0 0,2 0 0,13 72 0,69 165 0,-66-223 0,35 77 0,-6-17 0,22 33 0,-29-69 0,-28-58 0,1 0 0,19 24 0,11 18 0,-43-64 0,0 0 0,0 0 0,0 0 0,0 0 0,1 0 0,-1-1 0,0 1 0,1 0 0,0-1 0,-1 1 0,1-1 0,0 1 0,0-1 0,0 0 0,0 0 0,0 0 0,3 1 0,-3-2 0,-1 0 0,0 0 0,1 0 0,-1 0 0,0 0 0,0-1 0,1 1 0,-1 0 0,0-1 0,0 1 0,1-1 0,-1 0 0,0 1 0,0-1 0,0 0 0,0 0 0,0 1 0,0-1 0,0 0 0,0 0 0,1-2 0,3-4 0,-1-1 0,0 1 0,0-1 0,-1 0 0,0 0 0,0 0 0,2-13 0,22-147 0,0-18 0,-22 151 0,14-46 0,-11 55 0,-2 0 0,-1-1 0,3-45 0,-6 48 0,0 1 0,7-25 0,-4 24 0,-1 0 0,0-25 0,-1 7 0,10-48 0,-2 13 0,-7 52 0,1 0 0,15-39 0,1-10 0,-20 71 0,12-44 0,-12 44 0,-1 1 0,1-1 0,0 1 0,0-1 0,0 1 0,0 0 0,1 0 0,-1-1 0,1 1 0,-1 0 0,1 0 0,0 1 0,0-1 0,3-2 0,2 5-1365,-2 5-5461</inkml:trace>
  <inkml:trace contextRef="#ctx0" brushRef="#br0" timeOffset="11431.74">10742 3068 24575,'-13'0'0,"-1"0"0,1 1 0,-1 1 0,1 0 0,-1 1 0,1 1 0,0 0 0,-21 9 0,27-9 0,0 0 0,0 1 0,0 0 0,1 0 0,0 0 0,0 1 0,0 0 0,1 0 0,-1 0 0,1 1 0,1 0 0,-1 0 0,1 0 0,1 0 0,-6 15 0,2-3 0,1 0 0,0 0 0,2 1 0,0-1 0,2 1 0,0 0 0,1 0 0,0 0 0,2 0 0,0 0 0,5 22 0,-5-38 0,0-1 0,1 0 0,-1 0 0,0 0 0,1 0 0,0 0 0,-1 0 0,1 0 0,0-1 0,1 1 0,-1-1 0,0 1 0,1-1 0,-1 0 0,1 0 0,0 0 0,5 3 0,-2-2 0,0-1 0,1 0 0,-1 0 0,0 0 0,1-1 0,-1 0 0,1 0 0,0 0 0,6-1 0,-5 0 0,-1 0 0,1-1 0,-1 0 0,0 0 0,1-1 0,-1 0 0,0 0 0,0 0 0,0-1 0,0 0 0,0-1 0,-1 1 0,1-2 0,-1 1 0,0 0 0,0-1 0,6-7 0,32-42 0,-31 40 0,-1-1 0,0 0 0,-1-1 0,11-21 0,10-21 0,-25 46 0,1-1 0,-1 0 0,-1 0 0,0 0 0,-1-1 0,-1 0 0,0 0 0,0 0 0,-2 0 0,2-24 0,-3 22 0,-2 0 0,0 1 0,-1-1 0,0 1 0,-1-1 0,-7-20 0,8 31 0,1 1 0,-1-1 0,0 1 0,-1-1 0,1 1 0,-1 0 0,0 0 0,0 0 0,0 0 0,0 0 0,-1 1 0,0 0 0,1-1 0,-1 1 0,0 1 0,-1-1 0,1 1 0,0-1 0,-1 1 0,1 0 0,-1 1 0,0-1 0,1 1 0,-7-1 0,9 2 4,1 0 1,-1 0-1,0 0 0,1 0 0,-1 0 0,1 0 0,-1 0 0,0 1 0,1-1 1,-1 0-1,1 1 0,-1 0 0,1-1 0,-1 1 0,1 0 0,0 0 0,-1-1 1,1 1-1,0 1 0,0-1 0,-1 0 0,1 0 0,0 0 0,0 0 0,0 1 1,0-1-1,1 1 0,-2 1 0,0 3-216,0-1 0,0 1 0,0-1-1,1 1 1,0 0 0,0 9 0,-1 7-6614</inkml:trace>
  <inkml:trace contextRef="#ctx0" brushRef="#br0" timeOffset="11794.93">11293 1974 24575,'0'1362'0,"1"-1345"0,1-1 0,0 0 0,7 21 0,4 38 0,8 35-1365,-18-90-5461</inkml:trace>
  <inkml:trace contextRef="#ctx0" brushRef="#br0" timeOffset="12229.61">11845 3708 24575,'8'0'0,"23"1"0,-1-1 0,1-1 0,-1-2 0,1-1 0,-1-1 0,0-2 0,30-11 0,17-9-1365,-61 20-5461</inkml:trace>
  <inkml:trace contextRef="#ctx0" brushRef="#br0" timeOffset="12994.99">12528 3228 24575,'-2'103'0,"5"115"0,-3-216 0,0 0 0,0 0 0,0-1 0,0 1 0,1 0 0,-1 0 0,0 0 0,1-1 0,0 1 0,-1 0 0,1 0 0,0-1 0,0 1 0,1 1 0,-1-2 0,-1-1 0,1 0 0,-1 0 0,1 0 0,-1 0 0,1 0 0,-1 0 0,0 0 0,1 0 0,-1 0 0,1 0 0,-1 0 0,1 0 0,-1 0 0,1 0 0,-1 0 0,1 0 0,-1-1 0,0 1 0,1 0 0,-1 0 0,1 0 0,-1-1 0,0 1 0,1 0 0,-1-1 0,0 1 0,1 0 0,-1-1 0,0 1 0,1 0 0,-1-2 0,4-3 0,0-1 0,0 0 0,-1 0 0,0 0 0,4-13 0,-1 3 0,1 0 0,1 0 0,19-28 0,12-24 0,-35 60 0,0 0 0,1 1 0,0 0 0,0 0 0,1 0 0,0 1 0,0-1 0,0 1 0,1 1 0,8-6 0,-13 9 0,-1 1 0,1 0 0,0-1 0,0 1 0,0 0 0,0 0 0,0 0 0,0 1 0,0-1 0,0 0 0,0 1 0,0-1 0,0 1 0,1 0 0,-1 0 0,0 0 0,0 0 0,0 0 0,0 0 0,1 1 0,-1-1 0,0 1 0,0-1 0,0 1 0,0 0 0,0 0 0,0 0 0,0 0 0,0 0 0,0 0 0,-1 0 0,1 1 0,0-1 0,-1 1 0,1 0 0,-1-1 0,1 1 0,-1 0 0,0 0 0,0 0 0,0 0 0,1 3 0,13 33 0,-14-32 0,1 0 0,0 0 0,0 0 0,0 0 0,0 0 0,1-1 0,0 0 0,0 1 0,1-1 0,-1 0 0,1 0 0,0-1 0,0 1 0,1-1 0,4 4 0,-7-8 0,0 1 0,0-1 0,-1 0 0,1 0 0,0 0 0,0 0 0,0 0 0,0-1 0,-1 1 0,1 0 0,0-1 0,0 1 0,-1-1 0,1 0 0,0 0 0,-1 1 0,1-1 0,-1 0 0,1 0 0,-1-1 0,1 1 0,-1 0 0,0 0 0,1-1 0,-1 1 0,0-1 0,1-1 0,31-47 0,-30 47 0,5-12 0,87-137 0,-91 145 0,-1 2 0,1-1 0,0 1 0,0 0 0,0 1 0,0-1 0,7-5 0,-10 10 0,0-1 0,0 1 0,0-1 0,0 1 0,0 0 0,0-1 0,0 1 0,0 0 0,1 0 0,-1-1 0,0 1 0,0 0 0,0 0 0,0 0 0,0 1 0,0-1 0,0 0 0,1 0 0,-1 1 0,0-1 0,0 0 0,0 1 0,0-1 0,0 1 0,0-1 0,0 1 0,-1 0 0,1-1 0,0 1 0,0 0 0,0 0 0,-1 0 0,1 0 0,0-1 0,-1 1 0,1 0 0,0 0 0,-1 0 0,1 0 0,-1 1 0,0-1 0,1 1 0,38 84 0,-29-61 0,1-1 0,25 43 0,-28-58-97,0 0-1,1 0 1,0-1-1,0 0 1,1-1-1,0 0 1,0 0-1,1-1 1,0 0-1,0-1 1,0-1-1,1 1 0,15 2 1,-5-2-6729</inkml:trace>
  <inkml:trace contextRef="#ctx0" brushRef="#br0" timeOffset="13415.57">13762 3361 24575,'-21'0'0,"-3"-1"0,1 1 0,-1 2 0,1 0 0,-45 10 0,64-10 0,-1-1 0,1 0 0,0 1 0,-1 0 0,1 0 0,0 0 0,0 1 0,0-1 0,0 1 0,1 0 0,-1 0 0,1 1 0,-1-1 0,1 1 0,0-1 0,1 1 0,-1 0 0,1 0 0,-1 0 0,1 1 0,0-1 0,1 0 0,-1 1 0,1 0 0,0-1 0,0 1 0,0 0 0,1-1 0,-1 1 0,1 0 0,1 5 0,-1-8 0,0 0 0,0 1 0,1-1 0,-1 0 0,1 0 0,-1 0 0,1 1 0,0-1 0,0 0 0,0 0 0,0 0 0,0 0 0,0 0 0,1 0 0,-1-1 0,1 1 0,-1 0 0,1-1 0,0 1 0,2 1 0,0 0 0,1-1 0,-1 0 0,1 0 0,0 0 0,0 0 0,0-1 0,0 1 0,9 0 0,-1-1 0,0 0 0,0-2 0,0 1 0,0-1 0,0-1 0,21-5 0,-15-1 0,0 0 0,0-1 0,18-13 0,-26 14 0,1 1 0,0 1 0,0-1 0,0 2 0,1 0 0,-1 0 0,1 2 0,0-1 0,23-2 0,-25 7 0,0 1 0,0 0 0,0 0 0,0 1 0,0 0 0,-1 1 0,1 0 0,-1 1 0,15 10 0,-14-9 0,-1 0 0,1-1 0,0 0 0,0-1 0,1 0 0,-1-1 0,24 4 0,0-7 8,-24 0-351,1 0-1,-1 0 1,19 4 0,-13 2-6483</inkml:trace>
  <inkml:trace contextRef="#ctx0" brushRef="#br0" timeOffset="13963.27">14839 3228 24575,'-6'1'0,"1"-1"0,0 1 0,-1 1 0,1-1 0,0 1 0,0 0 0,0 0 0,0 0 0,1 1 0,-7 4 0,-49 38 0,33-23 0,-14 10 0,14-10 0,-1-1 0,-2-2 0,-39 21 0,8-3 0,51-30 0,0 0 0,0-1 0,-1 0 0,0 0 0,0-1 0,0-1 0,0 0 0,-1-1 0,-17 4 0,27-7 0,0 0 0,0 0 0,-1 0 0,1-1 0,0 1 0,0-1 0,1 1 0,-1-1 0,0 0 0,0 0 0,0 0 0,0 0 0,0 0 0,1 0 0,-1 0 0,1-1 0,-1 1 0,1 0 0,-1-1 0,1 1 0,-1-1 0,1 0 0,0 0 0,0 1 0,0-1 0,0 0 0,0 0 0,1 0 0,-1 0 0,1 0 0,-1 0 0,1 0 0,-1 0 0,1-4 0,-2-9 0,1-1 0,0 0 0,3-25 0,-1 23 0,-1 13 0,1 0 0,-1 0 0,1 0 0,0 0 0,0 0 0,1 0 0,0 0 0,-1 0 0,2 0 0,4-8 0,-7 12 0,1 1 0,0-1 0,-1 0 0,1 0 0,0 1 0,-1-1 0,1 0 0,0 1 0,0-1 0,0 1 0,0-1 0,0 1 0,0-1 0,0 1 0,0 0 0,0-1 0,0 1 0,0 0 0,0 0 0,0 0 0,0 0 0,1 0 0,0 0 0,0 1 0,0 0 0,0-1 0,0 1 0,0 0 0,-1 1 0,1-1 0,0 0 0,0 0 0,-1 1 0,1-1 0,-1 1 0,0-1 0,1 1 0,1 3 0,48 67 0,-24-34 0,1 0 0,44 45 0,-66-77 0,0 0 0,0 0 0,1-1 0,0 0 0,1 0 0,-1-1 0,1 0 0,-1 0 0,1-1 0,0 1 0,0-2 0,1 1 0,-1-2 0,1 1 0,-1-1 0,1 0 0,-1 0 0,1-1 0,-1-1 0,13-1 0,-10 0-170,0 0-1,0 0 0,-1-1 1,1-1-1,-1 0 0,0 0 1,12-8-1,-5 3-6655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5:51.5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1 964 24575,'2'0'0,"-1"-1"0,1 1 0,0-1 0,0 0 0,0 1 0,0-1 0,0 0 0,-1 0 0,1 0 0,0 0 0,-1-1 0,1 1 0,0 0 0,-1-1 0,0 1 0,1-1 0,1-2 0,23-38 0,-10 17 0,-2 10 0,0 1 0,1 1 0,0 0 0,1 1 0,0 0 0,1 1 0,20-8 0,3-5 0,-10 9 0,0 1 0,0 2 0,2 1 0,35-8 0,55-19 0,-81 24 0,0 2 0,54-8 0,-14 4 0,146-37 0,10 15 0,-104 12 0,-6 0 0,19-2 0,37 2 0,9-1 0,-57 1 0,-97 17 0,-1 2 0,1 1 0,40 0 0,-45 4 0,52-9 0,-50 5 0,51-1 0,-37 4 0,60-11 0,-30 3 0,-5 1 0,-29 3 0,62-2 0,36 12 0,120-6 0,-192-9 0,-52 7 0,1 2 0,27-3 0,106 8 0,64-4 0,-130-11 0,-55 7 0,59-3 0,-15 10 0,-26 0 0,1-2 0,93-14 0,-116 11 0,-1 1 0,36 1 0,-39 2 0,1-1 0,-1-1 0,35-8 0,-6 1 0,0 2 0,1 2 0,0 3 0,70 6 0,-5-1 0,43-17 0,3 1 0,1538 14 0,-1678-3 0,0 0 0,33-8 0,-31 5 0,49-4 0,557 7 0,-306 4 0,-277-4-210,52-9 0,46-3-190,2416 13 995,-1213 3-370,-1301 0-225,51 10 0,-51-5 0,56 0 0,36-10 0,160 5 0,-196 11 0,-57-6 0,64 1 0,1292-9 0,-1372 2 0,55 11 0,16 1 0,8-13 0,-67-2 0,0 3 0,76 11 0,-72-5 0,1-2 0,50-3 0,8 2 0,-10 8 0,-58-6 0,43 1 0,-17-5 0,83 12 0,-45 3 0,187 4 0,-109-8 0,-4 1 0,-131-15-112,-17 0-139,0 0 1,-1 3-1,1 0 1,49 12-1,-61-9-6575</inkml:trace>
  <inkml:trace contextRef="#ctx0" brushRef="#br0" timeOffset="484.88">17234 1 24575,'16'2'0,"1"0"0,-1 1 0,0 1 0,0 0 0,0 2 0,-1-1 0,0 2 0,23 13 0,-19-10 0,0-1 0,0-1 0,1 0 0,35 8 0,-8-8 0,54 19 0,6 14 0,37 11 0,-127-48 0,-11-4 0,0 1 0,0 0 0,0 1 0,-1-1 0,1 1 0,0 1 0,-1-1 0,1 1 0,-1 0 0,0 0 0,0 0 0,0 1 0,6 5 0,-11-8 0,0 0 0,0 0 0,0 0 0,0 0 0,0 0 0,0 0 0,0 0 0,0 0 0,0-1 0,0 1 0,0 0 0,-1 0 0,1 0 0,0 0 0,-1 0 0,1-1 0,-1 1 0,1 0 0,-1 0 0,1-1 0,-1 1 0,0 0 0,1-1 0,-1 1 0,0-1 0,1 1 0,-1-1 0,0 1 0,0-1 0,1 1 0,-1-1 0,0 0 0,0 1 0,0-1 0,-1 0 0,-31 13 0,-30 4 0,21-7 0,1 1 0,-52 24 0,57-21 0,0-1 0,-45 8 0,-13 5 0,67-17 0,1 0 0,1 2 0,0 1 0,0 1 0,1 1 0,0 1 0,-31 27 0,52-39-151,0 1-1,0-1 0,1 0 0,-1 1 1,1-1-1,0 1 0,0 0 1,-2 5-1,-2 9-6674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5:54.87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24575,'2'1'0,"0"0"0,0 1 0,0-1 0,0 0 0,0 1 0,0 0 0,0-1 0,0 1 0,-1 0 0,1 0 0,-1 0 0,1 0 0,1 3 0,9 11 0,14 5 0,2 0 0,0-2 0,37 18 0,13 10 0,-39-25 0,76 32 0,-70-35 0,51 30 0,-67-33 0,2-1 0,58 19 0,0-1 0,85 30-105,-100-38-491,467 137-847,-455-137 1443,54 13 0,152 25 0,113 23 170,-162-32-2403,285 48 2233,-255-52 0,152 29 0,-95-24 0,195 55 0,-250-61-135,94 23-1052,-90-10 1187,-21-4 0,-154-37 0,98 25 0,243 71 0,-226-61-142,-84-23 145,357 103 167,-427-119 491,229 64-473,-99-27-188,16-1 0,13 0 0,-23 1 198,30-1 1995,9 0-2193,28 1-250,34 2-5,-113-25 255,-35-7 0,180 35-98,-209-41 98,-69-11 0,104 26 0,-107-20 0,78 10 0,29 6 0,24 3 0,-36-8 0,152 30 0,-144-28 0,5 1 0,76 24 0,-69-16 0,14 4 0,-128-26 0,82 10 0,17 3 0,80 15 0,-9-2 0,-101-16 3,34 8-64,-120-23 53,44 5 1,-46-9 9,59 15-1,-53-9-1,62 7 0,-59-11 0,54 15 0,329 68 0,-381-81 0,16 2 0,94 21 0,-34-5 0,17 5 0,-91-18 128,1-3 1,60 5-1,-62-10 8,0 2-1,73 20 1,-79-15-136,60 8 0,8 2 0,109 19 897,-76-17-585,71 18-920,88 23 608,-97-28 570,-20-11-570,-146-20 0,51 15 0,-51-11 0,50 7 0,201 36-721,-153-28 721,-91-15 0,90 8 0,-75-13 6,84 18 0,26 4-142,-4 0 136,-10-1 0,-72-16 186,86 6 346,-128-14-494,0 3 0,60 15-1,-60-11 0,0-1 0,57 2-1,-73-8-18,1 1-1,-1 2 0,38 11 0,-37-8 3,1-1 1,50 4-1,50 2-20,46 1 0,-140-12-14,0 1 0,-1 2 0,40 12 0,-38-9 239,0-1 0,63 4 0,-69-9-148,48 10 0,-47-7-92,45 3-1,-33-4 16,1 1 0,49 13 0,-52-9 0,2-1 0,57 2 0,-54-7 0,47 9 0,-19-1 0,75 13 0,-87-12 0,107 6 0,-39-5 0,-86-6 0,51 0 0,-8-2 0,97 17 0,-102-10 0,118 3 0,-148-13 0,53 9 0,51 2 0,-102-11 0,68 12 0,-47-4 0,2 1 0,-23-3 0,65 0 0,-76-7 0,276 13 0,-80 19 0,-173-27 0,97-3 0,-102-4 0,1 2 0,62 11 0,-40-3 0,0-4 0,115-6 0,-60-2 0,-81 3 0,1 3 0,57 10 0,-60-5 0,62-1 0,42 5 0,-63-2-265,0-5 0,106-7 0,-49-1 78,499 3 187,-620 2 0,59 10 0,-57-6 0,44 2 0,729-6 719,-392-4-456,687 2-263,-1072-2 0,59-10 0,-59 6 0,58-3 0,-13 10 0,-36 1 0,0-3 0,-1-1 0,72-12 0,-103 12 0,183-36 0,-119 27 0,-44 5 0,1 2 0,31 0 0,-26 2 0,53-10 0,-53 6 0,54-2 0,-54 6 0,1-2 0,-1-1 0,39-12 0,45-8 0,-53 15 0,-25 3 0,69-2 0,-80 7 0,50-9 0,24-2 0,-66 10 0,43-8 0,-44 5 0,55-2 0,-64 6 0,-1-1 0,1-1 0,47-15 0,-39 10 0,45-7 0,104-10 0,-156 21 0,48-16 0,-55 14 0,1 1 0,0 1 0,0 1 0,22-1 0,-9 2 0,47-11 0,-27 3 0,109-26 0,-118 26 0,-9 1 0,-16 4 0,1 1 0,0 1 0,41-3 0,-38 5 0,-1-1 0,31-7 0,4-1 0,98-16 0,-22 1 0,-108 20 0,0-1 0,0-2 0,39-17 0,-24 9 0,-9 5 0,-1-2 0,0 0 0,-1-3 0,-1 0 0,34-27 0,-29 18 0,53-30 0,19-14 0,-90 59 0,1 1 0,0 1 0,0 0 0,24-8 0,-23 11 0,0-2 0,-1 0 0,0-1 0,25-18 0,-28 17 0,1 1 0,0 1 0,0 1 0,1 0 0,32-10 0,-29 12 0,-1-2 0,-1 0 0,1-1 0,23-15 0,-23 13 0,1 0 0,0 1 0,0 1 0,36-10 0,37-17 0,-46 12 0,92-40 0,-105 50 0,51-31 0,10-4 0,-57 30 0,-1-1 0,0-2 0,47-37 0,-1-4 0,-55 40 0,-17 14 0,-1 1 0,0-1 0,0 0 0,0-1 0,13-19 0,-11 14 0,0 1 0,1 0 0,0 1 0,28-22 0,10-9 0,119-107 0,-78 56 0,134-103 0,-125 109 0,-49 44 275,-29 26-821,-1-1-1,23-26 0,-34 33-6279</inkml:trace>
  <inkml:trace contextRef="#ctx0" brushRef="#br0" timeOffset="538.8">35084 2351 24575,'120'-2'0,"130"5"0,-244-3 0,0 1 0,0 0 0,-1 1 0,1-1 0,0 1 0,-1 0 0,1 0 0,-1 1 0,0 0 0,0 0 0,0 0 0,0 1 0,-1-1 0,1 1 0,5 6 0,-4-2 0,0 0 0,0 0 0,-1 1 0,0 0 0,-1 0 0,1 0 0,-2 0 0,4 14 0,1 9 0,-3 0 0,0 0 0,-3 0 0,-1 51 0,-1-31-107,1-19-145,-2 0 1,-1 1-1,-1-1 0,-9 33 1,8-48-6575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6:29.47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529 133 24575,'-18'1'0,"1"0"0,-1 1 0,1 1 0,-1 1 0,1 0 0,0 1 0,0 1 0,1 1 0,0 0 0,0 1 0,1 0 0,0 2 0,-19 14 0,-16 8 0,31-21 0,1 2 0,0 0 0,-25 23 0,32-26 0,1 1 0,1 0 0,0 0 0,0 1 0,1 0 0,1 1 0,0 0 0,1 0 0,0 1 0,1-1 0,1 1 0,-4 19 0,-2 10 0,4-18 0,1 0 0,1 0 0,-1 30 0,5-46 0,0 0 0,1 0 0,0 0 0,1-1 0,0 1 0,0 0 0,1-1 0,0 0 0,0 0 0,1 0 0,0 0 0,1 0 0,5 8 0,8 6 0,1-1 0,1 0 0,1-1 0,0-1 0,1-1 0,1-1 0,1-1 0,28 13 0,28 11 0,106 35 0,-120-50 0,121 30 0,-34-11 0,-36-11 0,-71-21 0,54 20 0,-96-30 0,-1 0 0,0 0 0,0 0 0,0 0 0,0 1 0,0-1 0,0 1 0,0 0 0,-1-1 0,0 1 0,1 1 0,-1-1 0,0 0 0,0 0 0,-1 1 0,1-1 0,-1 1 0,0 0 0,0-1 0,0 1 0,0 0 0,-1 0 0,1-1 0,-1 1 0,0 0 0,0 0 0,0 0 0,-1 0 0,1-1 0,-1 1 0,0 0 0,0-1 0,-1 1 0,1 0 0,-1-1 0,1 1 0,-1-1 0,0 0 0,0 0 0,-1 0 0,1 0 0,-1 0 0,1 0 0,-1 0 0,0-1 0,-6 4 0,-30 17 0,-1-1 0,-2-3 0,0-1 0,-75 21 0,94-32 0,-9 5 0,-38 19 0,48-20 0,1-1 0,-1-1 0,-1-1 0,-36 8 0,36-12 0,-1 1 0,1 1 0,-26 10 0,315-147-1365,-248 122-5461</inkml:trace>
  <inkml:trace contextRef="#ctx0" brushRef="#br0" timeOffset="345.52">1618 40 24575,'0'686'0,"1"-665"0,1-1 0,1 0 0,0 0 0,2 0 0,0 0 0,1-1 0,1 0 0,15 30 0,-7-22 0,0-1 0,2 0 0,1-1 0,1-1 0,23 22 0,-16-10-1365,-18-18-5461</inkml:trace>
  <inkml:trace contextRef="#ctx0" brushRef="#br0" timeOffset="612.41">1245 911 24575,'1'-2'0,"-1"0"0,1 0 0,0 0 0,-1 0 0,1 1 0,0-1 0,0 0 0,0 1 0,0-1 0,0 1 0,0-1 0,1 1 0,-1-1 0,1 1 0,-1 0 0,1-1 0,-1 1 0,1 0 0,-1 0 0,1 0 0,0 1 0,2-2 0,45-17 0,-39 16 0,84-35 0,-67 26 0,0 1 0,0 1 0,1 2 0,0 0 0,29-3 0,-19 6 0,0-2 0,-1-1 0,0-2 0,0-2 0,44-20 0,-70 28-273,-1 0 0,1 1 0,0 0 0,19-2 0,-5 2-6553</inkml:trace>
  <inkml:trace contextRef="#ctx0" brushRef="#br0" timeOffset="1128.43">1992 973 24575,'1'1'0,"-1"1"0,1-1 0,0 1 0,-1-1 0,1 0 0,0 0 0,0 1 0,-1-1 0,1 0 0,0 0 0,0 0 0,0 0 0,1 0 0,-1 0 0,0 0 0,0 0 0,0 0 0,1-1 0,-1 1 0,0-1 0,1 1 0,-1-1 0,1 1 0,-1-1 0,0 0 0,1 1 0,2-1 0,47 6 0,-45-6 0,198 4 0,-174-6 0,0-1 0,-1-1 0,0-2 0,53-16 0,-7-15 0,-59 27 0,0 2 0,1 0 0,31-10 0,-30 13 0,1-1 0,-1 0 0,0-2 0,-1 0 0,0-1 0,0 0 0,0-2 0,-2 0 0,1-1 0,-1 0 0,-1-1 0,-1-1 0,18-21 0,-29 32 0,0 1 0,0-1 0,0 1 0,-1-1 0,1 0 0,-1 0 0,0 1 0,0-1 0,0 0 0,0 0 0,0 0 0,-1 0 0,1 0 0,-1-1 0,0 1 0,0 0 0,-1-5 0,1 5 0,-1 1 0,0 0 0,0 0 0,0 0 0,0 0 0,-1 0 0,1 1 0,-1-1 0,1 0 0,-1 1 0,1-1 0,-1 1 0,0-1 0,0 1 0,0 0 0,0-1 0,1 1 0,-5-1 0,-3-1 0,0 0 0,1 1 0,-1 0 0,0 1 0,0 0 0,0 0 0,0 1 0,0 0 0,0 0 0,-16 4 0,-3 4 0,0 2 0,1 1 0,0 0 0,-32 21 0,4-3 0,35-18 0,1 0 0,0 2 0,0 0 0,-28 28 0,-57 70 0,90-96 0,7-5 0,0-1 0,0 1 0,1 1 0,0-1 0,1 1 0,0 0 0,1 0 0,0 1 0,1-1 0,-2 13 0,0 8 0,2-1 0,0 50 0,3-75 0,0-1 0,0 0 0,1 1 0,0-1 0,0 0 0,0 1 0,0-1 0,1 0 0,0 0 0,0 0 0,0-1 0,1 1 0,0 0 0,0-1 0,0 1 0,6 5 0,-4-6 0,0 0 0,0 0 0,0-1 0,0 0 0,1 0 0,0 0 0,-1-1 0,1 1 0,0-1 0,0-1 0,0 1 0,1-1 0,-1 0 0,7-1 0,53 4 0,118-11 0,-165 4 0,0-2 0,0 0 0,-1-2 0,0 0 0,0 0 0,28-19 0,22-7 0,-20 8 0,-1-2 0,-1-1 0,45-37 0,-60 42 0,-15 9-1365,-3 1-5461</inkml:trace>
  <inkml:trace contextRef="#ctx0" brushRef="#br0" timeOffset="1677.39">3175 880 24575,'1'1'0,"1"-1"0,-1 1 0,0 0 0,1 0 0,-1-1 0,0 1 0,1 0 0,-1 0 0,0 0 0,0 1 0,0-1 0,0 0 0,0 0 0,0 1 0,0-1 0,-1 0 0,1 1 0,0-1 0,0 3 0,15 38 0,-12-31 0,36 119 0,-28-87 0,29 73 0,-7-51 0,2-1 0,50 65 0,-3-4 0,-71-102 0,-11-19 0,0-1 0,0 1 0,1-1 0,-1 0 0,1 1 0,0-1 0,0 0 0,0 0 0,0 0 0,1 0 0,-1-1 0,1 1 0,4 2 0,-7-4 0,0-1 0,1 0 0,-1 0 0,0 0 0,1 0 0,-1 0 0,0 0 0,1 0 0,-1 0 0,0 0 0,1 0 0,-1 0 0,0 0 0,1 0 0,-1 0 0,0 0 0,1 0 0,-1 0 0,0 0 0,0-1 0,1 1 0,-1 0 0,0 0 0,1 0 0,-1 0 0,0-1 0,0 1 0,1 0 0,-1 0 0,0 0 0,0-1 0,0 1 0,0 0 0,1-1 0,-1 1 0,0 0 0,0 0 0,0-1 0,3-18 0,-8-20 0,4 38 0,-9-34 0,-1 0 0,-2 1 0,-2 1 0,-1 0 0,-33-49 0,11 16 0,-61-94 0,77 119 0,-6-12 0,1 0 0,-25-78 0,47 117 0,2 0 0,0 0 0,0 0 0,1-1 0,1 1 0,1-1 0,0 1 0,3-22 0,-3 31 0,1 0 0,0 0 0,1 1 0,-1-1 0,1 1 0,0-1 0,0 1 0,0-1 0,1 1 0,0 0 0,-1 0 0,1 0 0,1 1 0,-1-1 0,0 1 0,1 0 0,0-1 0,0 2 0,0-1 0,0 0 0,0 1 0,0 0 0,1 0 0,-1 0 0,1 0 0,0 1 0,-1 0 0,8-1 0,35-6 0,123-16 0,-165 24 0,-1 0 0,0 0 0,0 0 0,0 0 0,0 1 0,0 0 0,1 0 0,-1 0 0,0 0 0,0 0 0,-1 1 0,1 0 0,0 0 0,-1 0 0,1 0 0,-1 0 0,1 1 0,2 3 0,-4-4 0,0 1 0,0 0 0,-1-1 0,1 1 0,-1 0 0,0 0 0,0 0 0,0 0 0,0 0 0,0 0 0,-1 0 0,1 0 0,-1 0 0,0 0 0,0 0 0,0 0 0,0 0 0,-1 1 0,1-1 0,-1 0 0,0 0 0,0 0 0,0 0 0,0-1 0,-2 5 0,-5 7 0,0-1 0,-1 1 0,-1-2 0,0 1 0,0-2 0,-1 1 0,-21 15 0,17-13 0,-1 0 0,2 1 0,-23 31 0,25-27-1365,3-2-5461</inkml:trace>
  <inkml:trace contextRef="#ctx0" brushRef="#br0" timeOffset="2177.66">4202 258 24575,'19'-3'0,"-1"0"0,1-1 0,-1-1 0,0-1 0,0-1 0,19-9 0,-19 8 0,7-4 0,-1-1 0,31-22 0,-30 18 0,45-22 0,-54 32 0,-1-1 0,0-1 0,0 0 0,-1-1 0,23-21 0,-36 30 0,0 0 0,0-1 0,0 1 0,1 0 0,-1 0 0,0 0 0,0 0 0,1 0 0,-1 0 0,1 1 0,-1-1 0,1 0 0,-1 1 0,1-1 0,-1 1 0,1-1 0,0 1 0,-1 0 0,1 0 0,0-1 0,-1 1 0,3 1 0,-3-1 0,0 1 0,1 0 0,-1 0 0,0 0 0,0 0 0,0 0 0,0 0 0,0 0 0,0 0 0,0 0 0,-1 1 0,1-1 0,0 0 0,-1 1 0,1-1 0,-1 0 0,1 1 0,-1-1 0,1 3 0,1 12 0,0 0 0,-1 0 0,-1 25 0,-1-29 0,-2 774 0,9-730-1365,0-36-5461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6:33.98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315 126 24575,'-14'0'0,"0"2"0,-1 0 0,1 1 0,0 0 0,0 1 0,1 0 0,-16 8 0,-89 49 0,113-58 0,0 0 0,0 0 0,0 1 0,1 0 0,0 0 0,-1 0 0,1 0 0,1 1 0,-1-1 0,1 1 0,0 0 0,0 0 0,0 0 0,1 0 0,-1 1 0,1-1 0,1 1 0,-1-1 0,1 1 0,0 0 0,0 0 0,1 0 0,-1-1 0,1 1 0,1 0 0,-1 0 0,3 10 0,-2-9 0,1 0 0,-1-1 0,1 1 0,1 0 0,0-1 0,-1 1 0,2-1 0,-1 0 0,1 0 0,0-1 0,0 1 0,1-1 0,-1 1 0,1-1 0,1-1 0,-1 1 0,1-1 0,-1 0 0,1 0 0,0-1 0,0 1 0,10 2 0,76 25 0,100 29 0,-37-29 0,-120-25 0,-24-5 0,0 0 0,-1 1 0,1 0 0,0 1 0,16 7 0,-26-10 0,1 1 0,0 0 0,-1 0 0,1 1 0,0-1 0,-1 0 0,0 0 0,1 1 0,-1-1 0,0 1 0,1-1 0,-1 1 0,0 0 0,0-1 0,0 1 0,-1 0 0,1 0 0,0 0 0,-1-1 0,1 1 0,-1 0 0,1 0 0,-1 0 0,0 0 0,0 0 0,0 0 0,0 0 0,0 0 0,-1 0 0,1 0 0,0 0 0,-1 0 0,0 0 0,1-1 0,-1 1 0,-1 3 0,-2 3 0,0-1 0,-1 1 0,1-1 0,-2 0 0,1 0 0,-1 0 0,0-1 0,0 0 0,-14 11 0,-71 42 0,75-50 0,-47 22 0,-11 6 0,57-27 0,7-4 0,1 0 0,0 0 0,0 1 0,0 0 0,1 0 0,-8 9 0,16-16 0,0 0 0,0 0 0,1 0 0,-1 0 0,0 0 0,0 0 0,0 1 0,0-1 0,0 0 0,0 0 0,0 0 0,1 0 0,-1 0 0,0 0 0,0 0 0,0 0 0,0 0 0,0 0 0,0 0 0,0 0 0,0 0 0,0 1 0,0-1 0,1 0 0,-1 0 0,0 0 0,0 0 0,0 0 0,0 0 0,0 0 0,0 0 0,0 1 0,0-1 0,0 0 0,0 0 0,0 0 0,0 0 0,0 0 0,0 0 0,0 1 0,0-1 0,0 0 0,0 0 0,0 0 0,0 0 0,0 0 0,0 0 0,0 0 0,0 1 0,-1-1 0,1 0 0,0 0 0,0 0 0,0 0 0,0 0 0,0 0 0,0 0 0,0 0 0,0 0 0,0 0 0,0 0 0,-1 1 0,1-1 0,15-7 0,17-11 0,15-13-1365,-24 18-5461</inkml:trace>
  <inkml:trace contextRef="#ctx0" brushRef="#br0" timeOffset="299.54">1064 95 24575,'0'656'0,"1"-640"-341,0 1 0,1 0-1,7 25 1,-2-15-6485</inkml:trace>
  <inkml:trace contextRef="#ctx0" brushRef="#br0" timeOffset="535.31">1002 593 24575,'0'-2'0,"1"1"0,0-1 0,-1 1 0,1 0 0,0-1 0,0 1 0,0 0 0,0 0 0,0 0 0,0 0 0,1 0 0,-1 0 0,0 0 0,0 0 0,1 0 0,-1 0 0,1 1 0,-1-1 0,3 0 0,38-16 0,-30 13 0,34-17 0,-1-1 0,69-47 0,-97 57-195,1 2 0,0 1 0,1 0 0,0 1 0,0 1 0,38-9 0,-45 15-6631</inkml:trace>
  <inkml:trace contextRef="#ctx0" brushRef="#br0" timeOffset="1541.58">1470 624 24575,'0'5'0,"0"-1"0,0 0 0,0 0 0,0 0 0,1 0 0,0 0 0,0 0 0,0-1 0,0 1 0,0 0 0,1 0 0,0-1 0,0 1 0,0 0 0,0-1 0,3 4 0,-1-4 0,0 0 0,0 0 0,0-1 0,0 0 0,0 0 0,1 0 0,-1 0 0,1 0 0,-1-1 0,1 0 0,-1 0 0,1 0 0,9 0 0,-3-1 0,1 0 0,0-1 0,0 0 0,-1-1 0,1 0 0,-1-1 0,1 0 0,-1 0 0,0-2 0,0 1 0,14-9 0,-4 0 0,-1 0 0,0 0 0,-1-2 0,28-28 0,-39 35 0,0-2 0,-1 1 0,0-1 0,-1 0 0,0 0 0,-1-1 0,6-16 0,-8 21 0,-1-1 0,0 1 0,0-1 0,-1 0 0,1 1 0,-2-1 0,1 0 0,-1 0 0,0 0 0,0 0 0,-1 0 0,0 0 0,-4-13 0,4 17 0,-1 0 0,0 0 0,-1 0 0,1 0 0,0 0 0,-1 1 0,0-1 0,1 1 0,-1-1 0,0 1 0,0 0 0,0 0 0,-1 1 0,1-1 0,0 1 0,-1-1 0,1 1 0,-1 0 0,1 0 0,-1 0 0,0 1 0,1-1 0,-1 1 0,0 0 0,1 0 0,-7 1 0,-4 0 0,0 1 0,1 0 0,-1 0 0,1 2 0,-25 8 0,22-3 0,0 0 0,1 1 0,0 1 0,0 0 0,1 2 0,1-1 0,-22 27 0,4-6 0,13-12 0,1 1 0,-25 45 0,37-58 0,1 1 0,0 0 0,1 0 0,0 0 0,0 0 0,1 0 0,0 1 0,0 18 0,2 2 0,5 52 0,-5-79 0,1-1 0,-1 0 0,1 0 0,0 0 0,0 0 0,0 0 0,1 0 0,-1 0 0,1 0 0,0 0 0,0 0 0,0-1 0,0 1 0,0-1 0,0 1 0,1-1 0,-1 0 0,1 0 0,-1 0 0,1 0 0,0-1 0,0 1 0,0-1 0,0 1 0,0-1 0,0 0 0,0 0 0,0-1 0,6 2 0,10 0 0,-1-1 0,1 0 0,0-1 0,22-3 0,-7 0 0,-13 2 0,0-1 0,1 0 0,-1-2 0,0-1 0,-1 0 0,1-2 0,-1 0 0,0-1 0,-1-1 0,21-13 0,-20 11 0,1 2 0,31-11 0,-40 16 0,0 0 0,1 0 0,-1-1 0,-1 0 0,1-1 0,-1-1 0,0 0 0,-1 0 0,1-1 0,-1 0 0,15-17 0,-25 23 0,1 1 0,0-1 0,0 1 0,0-1 0,0 1 0,0 0 0,1 0 0,-1-1 0,0 1 0,0 0 0,1 0 0,-1 0 0,1 0 0,-1 0 0,1 1 0,-1-1 0,1 0 0,2 0 0,-4 1 0,1 1 0,0-1 0,0 0 0,-1 1 0,1-1 0,0 1 0,-1-1 0,1 1 0,0-1 0,-1 1 0,1-1 0,-1 1 0,1-1 0,-1 1 0,1 0 0,-1-1 0,1 1 0,-1 0 0,1 0 0,-1-1 0,0 1 0,0 0 0,1 0 0,-1-1 0,0 3 0,2 10 0,0-1 0,-1 1 0,0 19 0,-1-30 0,-3 630 0,3-622 0,0 1 0,1-1 0,0 0 0,1 0 0,0 0 0,0 0 0,1 0 0,1 0 0,-1-1 0,9 15 0,-12-23 0,0-1 0,1 1 0,-1-1 0,0 1 0,0-1 0,1 1 0,-1-1 0,1 1 0,-1-1 0,0 1 0,1-1 0,-1 1 0,1-1 0,-1 0 0,1 1 0,-1-1 0,1 0 0,-1 0 0,1 1 0,-1-1 0,1 0 0,0 0 0,-1 0 0,1 0 0,-1 1 0,1-1 0,0 0 0,-1 0 0,1 0 0,-1 0 0,1-1 0,0 1 0,9-17 0,-2-30 0,-7 13 0,0 1 0,-3-1 0,0 0 0,-2 1 0,-10-40 0,6 37 0,3-1 0,-2-39 0,-5-42 0,4 66 0,3 0 0,2-1 0,8-101 0,-2 141 0,0 0 0,1 1 0,0 0 0,1 0 0,0 0 0,1 0 0,0 1 0,14-18 0,5-13 0,-20 35 0,-1 0 0,1 1 0,1-1 0,-1 1 0,1 1 0,9-8 0,-14 12 0,1-1 0,0 1 0,0 0 0,-1 0 0,1 0 0,0 0 0,0 0 0,0 1 0,1-1 0,-1 0 0,0 1 0,3-1 0,-4 1 0,0 1 0,1-1 0,-1 0 0,0 0 0,0 1 0,0-1 0,0 0 0,0 1 0,0-1 0,0 1 0,-1 0 0,1-1 0,0 1 0,0 0 0,0-1 0,0 1 0,-1 0 0,1 0 0,0 0 0,-1 0 0,1-1 0,-1 1 0,1 0 0,-1 0 0,1 0 0,-1 2 0,1 1 0,0 0 0,-1-1 0,0 1 0,0 0 0,0 0 0,0 0 0,-1 0 0,1 0 0,-1-1 0,0 1 0,0 0 0,-1 0 0,1-1 0,-1 1 0,0-1 0,-3 6 0,-39 57 0,40-61 0,-4 3 0,1 1 0,-2-1 0,1-1 0,-17 12 0,16-13 0,0 1 0,0 1 0,1-1 0,0 1 0,-9 11 0,-4 21-1365,14-20-5461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6:48.8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1 190 24575,'0'-1'0,"1"-1"0,-1 0 0,1 1 0,0-1 0,0 1 0,0-1 0,0 1 0,0 0 0,0-1 0,0 1 0,0 0 0,0-1 0,1 1 0,-1 0 0,0 0 0,1 0 0,-1 0 0,3-1 0,35-18 0,-30 16 0,6-4 0,125-57 0,-120 58 0,-1 0 0,2 2 0,-1 0 0,1 1 0,28-2 0,55-9 0,-75 9 0,55-3 0,-57 7 0,-1 1 0,1 1 0,-1 2 0,1 1 0,-1 1 0,0 1 0,0 1 0,47 18 0,-6 8 0,101 64 0,-162-92 0,-1 0 0,0 0 0,0 0 0,0 1 0,0 0 0,-1 0 0,1 0 0,-1 0 0,-1 1 0,1-1 0,-1 1 0,0 0 0,0 0 0,3 13 0,-2-1 0,-1-1 0,-1 0 0,-1 1 0,-2 26 0,1-24 0,1-1 0,-1 0 0,-1 0 0,-1 0 0,0-1 0,-1 1 0,-1-1 0,-1 1 0,-14 33 0,1-15 0,-2-1 0,-1-1 0,-2-1 0,-44 50 0,25-28 0,36-47 0,0 0 0,0 0 0,-1 0 0,-1 0 0,1-1 0,-1-1 0,-14 11 0,-30 21 0,39-28 0,0-1 0,0-1 0,0 0 0,-1-1 0,-16 7 0,5-6 0,-1-1 0,0-1 0,-48 6 0,42-6 0,25-5 0,1-1 0,-1 1 0,0-1 0,0 0 0,1-1 0,-1 1 0,-7-2 0,12 1 0,0-1 0,1 1 0,-1-1 0,0 0 0,1 1 0,-1-1 0,1 0 0,-1 0 0,1 0 0,-1 0 0,1 0 0,0-1 0,0 1 0,-1 0 0,1-1 0,0 1 0,0-1 0,0 1 0,0-1 0,1 1 0,-1-1 0,0 0 0,1 1 0,-1-1 0,1 0 0,-1 0 0,1 1 0,0-1 0,0 0 0,0 0 0,0 1 0,0-3 0,0-1 0,0 0 0,1 0 0,0 1 0,0-1 0,0 0 0,0 0 0,0 1 0,1-1 0,0 1 0,0-1 0,1 1 0,-1 0 0,1 0 0,-1 0 0,1 0 0,1 0 0,-1 1 0,0-1 0,1 1 0,0 0 0,0 0 0,0 1 0,0-1 0,0 1 0,7-3 0,10-5 0,1 1 0,0 1 0,42-10 0,-48 14 0,1 1 0,-1 1 0,0 0 0,1 1 0,-1 1 0,30 3 0,-40-3 0,1 2 0,0-1 0,-1 1 0,1 0 0,-1 0 0,1 1 0,-1 0 0,0 0 0,0 0 0,0 1 0,-1 0 0,1 0 0,-1 0 0,0 1 0,0 0 0,0 0 0,-1 0 0,7 11 0,14 20 0,2 0 0,1-2 0,60 56 0,-51-54 0,46 36 0,5 6-1365,-70-60-5461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7:35.57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3268 1957 24575,'-469'0'0,"438"2"0,0 1 0,-36 8 0,33-5 0,-52 4 0,60-8 0,-1 1 0,-27 7 0,27-4 0,0-1 0,-29 0 0,25-2-72,-1 1 0,1 2-1,-44 13 1,44-10-3,0-2 1,0-1 0,-50 4-1,-110 8 75,103-7 0,41-4-239,-58 17 0,69-15 46,1-1 0,-1-1 0,-50 2 0,46-6 153,-65 12 1,34-3 519,46-7-470,1 1 1,-34 12 0,36-10 281,0-1-1,-45 8 1,-21 1 53,58-10-283,1 0-1,-41 1 0,-23-7-1426,66-1-5461</inkml:trace>
  <inkml:trace contextRef="#ctx0" brushRef="#br0" timeOffset="389.85">1307 1740 24575,'-24'0'0,"0"1"0,0 1 0,0 1 0,1 1 0,-1 2 0,1 0 0,0 1 0,-39 18 0,-144 87 0,128-77 0,39-19 0,-36 23 0,-41 27 0,-65 40 0,-26 34 0,190-128 0,0 1 0,-25 25 0,3-3 0,36-33 0,0 1 0,-1 0 0,1 0 0,1 0 0,-1 1 0,0-1 0,1 0 0,0 1 0,0 0 0,0 0 0,0 0 0,1 0 0,-1 0 0,1 0 0,0 0 0,0 0 0,1 0 0,-1 0 0,1 1 0,0-1 0,0 0 0,0 0 0,0 1 0,1-1 0,0 0 0,0 0 0,0 0 0,0 0 0,1 0 0,0 0 0,0 0 0,0 0 0,0-1 0,0 1 0,1-1 0,-1 1 0,1-1 0,0 0 0,0 0 0,0 0 0,1-1 0,-1 1 0,1-1 0,-1 1 0,1-1 0,0 0 0,0-1 0,0 1 0,0-1 0,0 0 0,0 0 0,7 1 0,29 3 0,0-3 0,0-1 0,54-5 0,11 0 0,-35 4-101,-31 2-152,1-2 0,0-2 0,-1-1 1,55-13-1,-73 11-6573</inkml:trace>
  <inkml:trace contextRef="#ctx0" brushRef="#br0" timeOffset="875.07">3486 494 24575,'0'18'0,"-1"31"0,3 0 0,2-1 0,10 51 0,18 100 0,-16-94 0,-10-58 0,2-1 0,2-1 0,23 69 0,-21-80 0,-3 1 0,0 0 0,3 39 0,-2-11 0,-5-31 0,-1 58 0,-4-64 0,1 0 0,1 0 0,10 42 0,-6-43-341,-2 1 0,0-1-1,0 34 1,-3-33-6485</inkml:trace>
  <inkml:trace contextRef="#ctx0" brushRef="#br0" timeOffset="1392.46">3424 494 24575,'0'6'0,"-1"16"0,2 0 0,5 35 0,-4-49 0,0 0 0,0 0 0,1-1 0,0 1 0,0-1 0,1 0 0,0 0 0,0 0 0,1-1 0,9 11 0,22 27 0,-31-36 0,0-1 0,0 1 0,1-1 0,0 0 0,1-1 0,-1 0 0,1 0 0,1 0 0,-1-1 0,1 0 0,0 0 0,0-1 0,0 0 0,0 0 0,1-1 0,15 4 0,18-2 0,0-2 0,1-2 0,75-7 0,-98 3 0,0-1 0,-1-1 0,1-1 0,-1 0 0,0-2 0,-1 0 0,0-1 0,0-1 0,32-23 0,29-12 0,-53 32 0,45-31 0,78-68 0,-119 89 0,-16 13 0,0 0 0,0-2 0,-1 0 0,0 0 0,-1-1 0,18-26 0,-11 12 0,-13 20 0,-1-1 0,0 1 0,0-1 0,-1 0 0,6-13 0,-11 17 0,-4 12 0,-6 13 0,-97 214 0,107-232 0,-39 97 0,31-71 0,-2-1 0,-17 32 0,16-34 0,2 0 0,0 0 0,2 1 0,1 0 0,-3 30 0,-15 48 0,5-32-118,3 1 0,3 1 0,4-1 0,2 2 0,4 83 0,3-49 118,4 89 118,-3-193-97,1 0 0,0-1 0,1 1-1,0 0 1,0-1 0,0 1-1,0-1 1,1 0 0,0 1-1,0-1 1,0-1 0,1 1-1,-1 0 1,1-1 0,0 0 0,1 0-1,-1 0 1,1 0 0,0-1-1,0 1 1,0-1 0,0-1-1,0 1 1,1-1 0,-1 0-1,1 0 1,-1 0 0,1-1 0,0 0-1,10 1 1,-3 0-25,0-1 0,0-1 0,1 0 0,-1-1 0,0 0 0,0-1 0,0-1 0,0 0 0,0 0 0,0-2 0,-1 1 0,22-12 0,-4-2-269,-1 0 0,-1-2 0,0-1 0,45-46 0,-61 52-6553</inkml:trace>
  <inkml:trace contextRef="#ctx0" brushRef="#br0" timeOffset="2098.03">5602 743 24575,'0'687'0,"-1"-656"0,-2 1 0,-8 34 0,5-32 0,-4 52 0,9-54 0,4 246 0,15-186 0,-9-56 0,6-6 0,-9-29 0,-7-19 0,-33-81 0,23 70 0,-13-47 0,20 59 0,-1 0 0,-1 0 0,-1 1 0,0-1 0,-13-20 0,11 18 0,0-1 0,2-1 0,0 0 0,1 0 0,-4-29 0,-11-39 0,13 57 0,-8-65 0,3 14 0,4 16 0,3-1 0,3 1 0,7-83 0,-1 15 0,-2 105 0,2 1 0,1 0 0,1-1 0,1 2 0,2-1 0,1 1 0,1 0 0,1 1 0,2 0 0,1 1 0,0 0 0,2 2 0,1-1 0,1 2 0,30-31 0,-3-4 0,-37 47 0,0 0 0,0 0 0,1 1 0,0 0 0,1 0 0,20-16 0,133-90 0,-103 66 0,-52 41 0,2 0 0,0 0 0,0 1 0,0 0 0,1 1 0,0 0 0,0 1 0,1 0 0,0 1 0,0 0 0,14-3 0,-25 7 0,1 1 0,0 0 0,0 0 0,0 0 0,0 0 0,0 0 0,0 0 0,0 1 0,-1-1 0,1 0 0,0 1 0,0 0 0,0-1 0,-1 1 0,1 0 0,0 0 0,-1 0 0,1 0 0,-1 0 0,1 0 0,-1 1 0,1-1 0,1 3 0,0 0 0,-1 0 0,0 0 0,0 1 0,0-1 0,0 1 0,-1-1 0,0 1 0,1-1 0,-1 8 0,1 8 0,-1 1 0,-1-1 0,-4 30 0,-3-11 0,-2 0 0,-2-1 0,-1 0 0,-1-1 0,-21 37 0,28-64 0,0 0 0,-1 0 0,-1-1 0,1 0 0,-19 16 0,-9 12 0,19-21 0,0 0 0,-1-1 0,-1-1 0,0 0 0,-28 14 0,-8 8 0,51-35-68,1 1 0,0 0-1,-1-1 1,1 1 0,0 0 0,0 0-1,0 0 1,1 1 0,-1-1 0,0 0-1,1 1 1,0-1 0,-1 1 0,1-1-1,0 1 1,0 0 0,0-1-1,1 1 1,-1 4 0,2 7-6758</inkml:trace>
  <inkml:trace contextRef="#ctx0" brushRef="#br0" timeOffset="2534.2">7501 59 24575,'-11'-1'0,"0"2"0,0 0 0,1 0 0,-1 1 0,0 0 0,0 1 0,1 0 0,0 1 0,-1 0 0,1 0 0,1 1 0,-1 1 0,1 0 0,0 0 0,-13 12 0,-5 2 0,-19 15 0,-57 56 0,-56 57 0,-27 28 0,145-132 0,3 1 0,-54 80 0,74-93 0,0 0 0,2 0 0,1 1 0,2 1 0,1 1 0,2 0 0,2 0 0,1 1 0,1 0 0,2 0 0,1 54 0,3-4 0,3 76 0,-2-152 0,0-1 0,1 0 0,1 0 0,-1 0 0,2 0 0,-1-1 0,1 1 0,0-1 0,1 0 0,0 0 0,0 0 0,1-1 0,-1 1 0,2-2 0,-1 1 0,1 0 0,0-1 0,1-1 0,-1 1 0,1-1 0,16 8 0,-5-5 0,0 0 0,1-1 0,0-1 0,0-1 0,1 0 0,-1-2 0,1-1 0,37 0 0,-36-3 0,-1-1 0,0-1 0,1-1 0,-1-1 0,0-1 0,-1-1 0,0 0 0,39-21 0,-11 0 0,-1-3 0,54-45 0,-78 57 24,0-1 0,-2 0 0,0-2 0,22-31 0,-34 40-173,0 0 1,-1-1-1,-1 1 1,0-2-1,-1 1 1,-1-1-1,0 1 1,-1-1-1,5-30 1,-7 20-6678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7:39.4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689 1339 24575,'-10'-1'0,"0"0"0,0-1 0,1 0 0,-1 0 0,-9-5 0,-37-7 0,44 13 0,1-1 0,-1 2 0,1-1 0,-1 2 0,1 0 0,-1 0 0,1 1 0,-1 0 0,1 1 0,0 0 0,0 1 0,0 0 0,-11 7 0,-22 15 0,1 2 0,-76 67 0,103-81 0,1-2 0,1 0 0,0 1 0,1 1 0,0 0 0,1 1 0,1 0 0,0 1 0,1 0 0,1 1 0,1 0 0,0 1 0,1-1 0,1 1 0,1 1 0,0-1 0,1 1 0,1 0 0,0 28 0,2 4 0,5 148 0,-4-194 0,1 0 0,0 0 0,0 0 0,0 0 0,1 0 0,0-1 0,0 1 0,0 0 0,0-1 0,1 1 0,0-1 0,0 0 0,4 4 0,2 2 0,1-1 0,0-1 0,18 12 0,16 13 0,-36-28 0,0 1 0,0-2 0,1 1 0,0-1 0,0 0 0,0-1 0,0 0 0,1 0 0,-1-1 0,1 0 0,0-1 0,13 0 0,12 0 0,0-2 0,36-5 0,-63 5 0,-1 0 0,1-1 0,-1 0 0,0-1 0,0 1 0,0-2 0,0 1 0,0-1 0,-1 1 0,1-2 0,6-5 0,6-7 0,-1 0 0,17-22 0,9-10 0,-24 27 0,-2-1 0,22-32 0,-13 15 0,-10 15 0,-1-1 0,-2-1 0,-1-1 0,14-38 0,29-121 0,-54 180 0,3-14 0,-1 0 0,-1-1 0,0 1 0,-2-1 0,-1 1 0,0-1 0,-4-24 0,2 35 0,0-1 0,0 1 0,-1 0 0,0 0 0,-1 0 0,-1 0 0,1 0 0,-2 1 0,1 0 0,-2 0 0,1 0 0,-1 1 0,-1 0 0,-15-15 0,12 17 0,-1 1 0,0 1 0,0 0 0,-1 0 0,1 1 0,-1 1 0,0 0 0,-14-1 0,8 0 0,9 2 0,-1 0 0,-1 0 0,1 2 0,0-1 0,0 1 0,0 1 0,0 0 0,0 0 0,0 1 0,0 1 0,0 0 0,-12 5 0,9-1 0,0 1 0,0 0 0,1 1 0,0 1 0,0 0 0,1 0 0,-20 24 0,27-29-136,0 0-1,0 1 1,0 0-1,1 0 1,0 1-1,0-1 1,1 1-1,0 0 0,-5 14 1,3 0-6690</inkml:trace>
  <inkml:trace contextRef="#ctx0" brushRef="#br0" timeOffset="644.54">876 342 24575,'12'36'0,"-1"-6"0,30 249 0,-35-238 0,24 78 0,-7-28 0,10 62 0,-19-89 0,-9-43 0,0-1 0,2 31 0,-4-23 0,1-1 0,2 0 0,14 44 0,7 27 0,-15-42 0,-3 1 0,4 108 0,-13-150 0,1 0 0,0 0 0,5 17 0,-6-28 0,1 0 0,0 0 0,1 0 0,-1 0 0,0 0 0,1 0 0,0 0 0,0 0 0,0-1 0,1 1 0,-1-1 0,1 0 0,0 0 0,0 0 0,5 5 0,-6-8 0,-1 1 0,1 0 0,-1-1 0,0 0 0,1 1 0,-1-1 0,1 0 0,0 0 0,-1 0 0,1 0 0,-1 0 0,1 0 0,-1 0 0,1-1 0,-1 1 0,1 0 0,-1-1 0,0 1 0,1-1 0,-1 0 0,1 0 0,-1 1 0,0-1 0,0 0 0,1 0 0,-1 0 0,0 0 0,1-2 0,34-39 0,-26 29 0,6-7 0,1 0 0,0 2 0,2 0 0,25-20 0,-38 34 0,-1 1 0,1-1 0,0 1 0,-1 0 0,1 0 0,1 1 0,-1-1 0,0 1 0,1 1 0,-1-1 0,1 1 0,-1 0 0,1 1 0,-1 0 0,1 0 0,0 0 0,-1 1 0,1 0 0,-1 0 0,1 0 0,12 5 0,-15-3 0,1-1 0,-1 0 0,0 1 0,1 0 0,-1 0 0,0 0 0,-1 1 0,1-1 0,0 1 0,-1 0 0,0 0 0,0 0 0,0 1 0,-1-1 0,1 0 0,-1 1 0,0 0 0,-1 0 0,1-1 0,-1 1 0,2 7 0,0 10 0,-1-1 0,-1 1 0,-3 38 0,1-30 0,1-24 0,0 1 0,-1-1 0,1 0 0,-1 0 0,-1 1 0,1-1 0,-1 0 0,0 0 0,-1-1 0,1 1 0,-1 0 0,0-1 0,-1 1 0,1-1 0,-7 7 0,4-7 0,0 0 0,-1 0 0,0 0 0,0 0 0,0-1 0,0-1 0,-1 1 0,0-1 0,1 0 0,-1-1 0,-13 3 0,7-2 0,-1 0 0,0-1 0,0 0 0,0-1 0,0-1 0,0 0 0,0-1 0,0-1 0,-23-5 0,35 5 5,0 0-1,0 0 1,0 0-1,0 0 0,0-1 1,1 1-1,-1-1 1,1 0-1,-1 0 1,1 0-1,0 0 0,0 0 1,1 0-1,-1 0 1,1-1-1,-1 1 1,1-1-1,0 1 1,0-1-1,0 1 0,1-1 1,0 0-1,-1 1 1,1-1-1,0 0 1,1-6-1,0-1-169,0 0 0,1 1 0,0-1 0,1 1 0,0 0 0,0 0 0,1 0 0,6-10 0,3-2-6661</inkml:trace>
  <inkml:trace contextRef="#ctx0" brushRef="#br0" timeOffset="1017.79">1965 0 24575,'2'16'0,"0"-1"0,1 1 0,0-1 0,2 0 0,9 24 0,8 30 0,-16-32 0,-2 0 0,-1 1 0,-4 56 0,0-56 0,1 0 0,2 0 0,9 50 0,-3-36 0,-3 0 0,-1 0 0,-5 71 0,4 65 0,12-91 0,-9-65 0,5 57 0,-12-62 0,2 1 0,2-1 0,0 0 0,1-1 0,2 1 0,17 48 0,-9-35 0,13 61 0,-25-94 0,11 61 0,-10-48 0,0 0 0,1-1 0,2 1 0,0-1 0,1 0 0,10 21 0,-6-20 0,-3-6 0,0 1 0,1-1 0,0-1 0,1 0 0,12 13 0,-20-24 0,0 0 0,0 0 0,0 0 0,0-1 0,1 1 0,-1-1 0,0 1 0,1-1 0,-1 0 0,1 0 0,0 0 0,-1 0 0,1 0 0,0-1 0,-1 1 0,1-1 0,0 0 0,-1 1 0,1-1 0,0-1 0,0 1 0,-1 0 0,1-1 0,0 1 0,0-1 0,-1 0 0,1 0 0,-1 0 0,1 0 0,-1 0 0,1-1 0,-1 1 0,0-1 0,0 1 0,1-1 0,-1 0 0,2-3 0,10-12-1365,-4-1-5461</inkml:trace>
  <inkml:trace contextRef="#ctx0" brushRef="#br0" timeOffset="1266.89">2837 1370 24575,'0'5'0,"0"7"0,0 7 0,0 6 0,0 3 0,0 3 0,0 1 0,0 0 0,0 1 0,0-1 0,0 0 0,0 0 0,-5-6 0,-3-12 0,2-15 0,0-6-8191</inkml:trace>
  <inkml:trace contextRef="#ctx0" brushRef="#br0" timeOffset="1472.05">2650 592 24575,'0'5'0,"0"7"0,0 7 0,0 6 0,0 3 0,0 3 0,0 1 0,5-5 0,2-2 0,5-5 0,1-5-8191</inkml:trace>
  <inkml:trace contextRef="#ctx0" brushRef="#br0" timeOffset="1921.89">3210 965 24575,'1'26'0,"2"-1"0,9 42 0,3 32 0,-12-76 0,1 0 0,1 0 0,14 42 0,-10-40 0,-2-1 0,7 47 0,2 18 0,-10-60 0,-1 1 0,2 37 0,-5-39 0,1 1 0,1 0 0,2-1 0,14 41 0,-15-56 0,0 0 0,1-1 0,1 1 0,0-1 0,1-1 0,10 13 0,-18-24 0,1 1 0,0 0 0,0-1 0,0 1 0,0-1 0,-1 1 0,1-1 0,0 1 0,0-1 0,0 0 0,0 1 0,0-1 0,0 0 0,0 0 0,0 1 0,0-1 0,0 0 0,0 0 0,0 0 0,0 0 0,0-1 0,0 1 0,0 0 0,0 0 0,0-1 0,0 1 0,0 0 0,0-1 0,0 1 0,0-1 0,-1 1 0,1-1 0,0 0 0,0 1 0,0-1 0,-1 0 0,1 1 0,0-1 0,-1 0 0,1 0 0,-1 0 0,1-1 0,29-43 0,-25 35 0,107-195 0,-53 93 0,-40 72 0,22-65 0,7-16 0,-36 91 0,-2-1 0,-1-1 0,-1 1 0,-2-1 0,-1 0 0,1-59 0,-6 84 59,0 13-1483,0 5-5402</inkml:trace>
  <inkml:trace contextRef="#ctx0" brushRef="#br0" timeOffset="2267.94">4269 1464 24575,'0'5'0,"5"2"0,2 5 0,0 5 0,3 1 0,1 2 0,-1 2 0,-4 4 0,-1 2 0,-3 2 0,-1 1 0,0-10 0,-2-14 0</inkml:trace>
  <inkml:trace contextRef="#ctx0" brushRef="#br0" timeOffset="2470.92">4237 840 24575,'0'6'0,"0"6"0,0 7 0,0 6 0,6-2 0,1 0 0,0-3-8191</inkml:trace>
  <inkml:trace contextRef="#ctx0" brushRef="#br0" timeOffset="3079.51">5171 1121 24575,'-79'-1'0,"-90"3"0,160 0 0,0 0 0,0 0 0,0 1 0,1 0 0,-1 1 0,1 0 0,0 0 0,0 1 0,0 0 0,0 0 0,1 1 0,0-1 0,0 2 0,1-1 0,0 1 0,0 0 0,-6 9 0,2-2 0,1 1 0,0 0 0,1 0 0,0 1 0,2 0 0,0 0 0,0 1 0,-3 21 0,4 10 0,1 0 0,3 0 0,8 82 0,-4-115 0,1-1 0,0 1 0,0-1 0,2 0 0,0-1 0,0 1 0,2-1 0,-1-1 0,2 1 0,-1-1 0,2-1 0,-1 0 0,2 0 0,-1 0 0,2-2 0,20 16 0,73 24 0,-93-43 0,0 0 0,0 0 0,0-2 0,1 1 0,-1-2 0,1 0 0,0 0 0,0-1 0,24 1 0,7-3 0,69-7 0,-103 5 0,-1 0 0,0 0 0,0-1 0,0-1 0,0 1 0,0-1 0,-1-1 0,1 0 0,-1 0 0,-1 0 0,1-1 0,8-8 0,11-13 0,40-51 0,-54 63 0,8-11 0,-1-1 0,-2 0 0,0-2 0,-2 0 0,-1-1 0,20-57 0,-28 65 0,8-26 0,-1 0 0,-3-2 0,10-89 0,-21 124 0,0 0 0,0 0 0,-2 0 0,0 0 0,-1 0 0,0 0 0,-7-18 0,6 23 0,-1 1 0,1-1 0,-2 1 0,1 1 0,-1-1 0,0 1 0,-1 0 0,0 1 0,0-1 0,-1 1 0,-15-11 0,9 8 0,-1 1 0,0 0 0,0 1 0,-1 1 0,0 1 0,0 0 0,-21-5 0,27 9 0,1 1 0,-1 0 0,0 0 0,1 1 0,-1 0 0,0 1 0,0 0 0,1 1 0,-1 0 0,1 0 0,-1 1 0,1 0 0,0 0 0,-12 7 0,6 0 0,1 1 0,0 0 0,0 1 0,1 0 0,1 1 0,0 0 0,1 1 0,0 1 0,1-1 0,1 2 0,0-1 0,1 1 0,1 1 0,-10 33 0,13-33-273,1 1 0,0-1 0,1 1 0,1 22 0,1-13-6553</inkml:trace>
  <inkml:trace contextRef="#ctx0" brushRef="#br0" timeOffset="3505.78">6323 1277 24575,'-6'0'0,"0"0"0,0 1 0,-1 0 0,1 0 0,0 0 0,0 1 0,0 0 0,0 0 0,0 1 0,1 0 0,-1 0 0,1 0 0,0 1 0,0-1 0,0 1 0,0 0 0,0 1 0,1-1 0,0 1 0,0 0 0,0 0 0,1 0 0,-1 1 0,1-1 0,1 1 0,-1-1 0,1 1 0,0 0 0,-2 7 0,-1 7 0,0 1 0,2 1 0,0-1 0,1 0 0,1 1 0,1-1 0,4 28 0,-3-43 0,-1-1 0,1 1 0,0-1 0,0 1 0,1-1 0,0 0 0,0 0 0,0 1 0,0-1 0,1 0 0,0-1 0,0 1 0,0-1 0,1 1 0,-1-1 0,1 0 0,0 0 0,0 0 0,1-1 0,7 6 0,-2-5 0,0 0 0,0 0 0,1-1 0,-1 0 0,0-1 0,1 0 0,0 0 0,-1-1 0,20-1 0,0 0 0,0-1 0,0-2 0,38-7 0,-57 7 0,1 0 0,-1-1 0,0-1 0,0 0 0,0 0 0,0-1 0,-1 0 0,0-1 0,0 0 0,-1-1 0,9-9 0,-3 3 0,-2 0 0,0-1 0,0 0 0,-1-1 0,-1-1 0,-1 0 0,-1 0 0,0-1 0,-1 0 0,-1-1 0,0 1 0,-2-2 0,0 1 0,-1 0 0,-1-1 0,1-23 0,-3 2 0,1 25 0,-1 0 0,-1 0 0,-1 0 0,0 0 0,-1 0 0,-7-29 0,8 42 0,0 1 0,0-1 0,0 1 0,-1-1 0,1 1 0,-1-1 0,0 1 0,1 0 0,-1 0 0,0 0 0,0 0 0,0 0 0,-1 1 0,1-1 0,0 1 0,-1-1 0,1 1 0,-1 0 0,1 0 0,-1 0 0,0 0 0,1 0 0,-1 1 0,0-1 0,0 1 0,1-1 0,-1 1 0,0 0 0,0 0 0,0 1 0,1-1 0,-1 1 0,0-1 0,-4 2 0,2 0 0,0 0 0,-1 0 0,1 0 0,0 1 0,0-1 0,1 1 0,-1 1 0,1-1 0,-1 0 0,1 1 0,0 0 0,0 0 0,1 0 0,-1 1 0,1-1 0,-4 8 0,-4 16-1365,4-1-5461</inkml:trace>
  <inkml:trace contextRef="#ctx0" brushRef="#br0" timeOffset="3993.48">7320 872 24575,'-58'-3'0,"40"2"0,0-1 0,1 2 0,-1 0 0,0 1 0,0 1 0,-28 7 0,44-8 0,-1 0 0,1 0 0,0 0 0,-1 0 0,1 0 0,0 0 0,0 1 0,0-1 0,0 1 0,0-1 0,1 1 0,-1 0 0,0 0 0,1 0 0,-1 0 0,1 0 0,0 0 0,0 0 0,-1 0 0,2 1 0,-1-1 0,0 0 0,0 1 0,1-1 0,-1 1 0,1-1 0,0 0 0,-1 1 0,1-1 0,0 1 0,1-1 0,-1 1 0,0-1 0,1 1 0,-1-1 0,1 0 0,0 1 0,0-1 0,2 4 0,0 2 0,1 0 0,1 0 0,-1-1 0,1 1 0,0-1 0,1 0 0,0-1 0,0 1 0,13 9 0,3-2 0,1-1 0,0-1 0,1-1 0,41 12 0,41 20 0,-67-26 0,0-2 0,78 19 0,-74-23 0,0 1 0,51 23 0,-35-9 0,110 30 0,-167-55 0,1-1 0,-1 1 0,0-1 0,1 1 0,-1 0 0,0 0 0,0 0 0,0 0 0,0 0 0,0 0 0,0 1 0,0-1 0,0 1 0,0-1 0,0 1 0,-1 0 0,1 0 0,-1-1 0,0 1 0,1 0 0,-1 1 0,0-1 0,0 0 0,1 4 0,-2-4 0,0 1 0,0-1 0,-1 0 0,0 0 0,1 0 0,-1 0 0,0 0 0,0 0 0,0 0 0,0 0 0,0-1 0,0 1 0,-1 0 0,1-1 0,-1 1 0,1-1 0,-1 1 0,1-1 0,-1 1 0,0-1 0,0 0 0,0 0 0,0 0 0,1 0 0,-1 0 0,-1-1 0,-2 2 0,-10 3 0,-1-1 0,1-1 0,-1 0 0,0-1 0,0-1 0,-26-1 0,22 0 0,-1 1 0,0 1 0,-26 5 0,-12 3 0,47-9 0,0 1 0,0 0 0,0 0 0,1 1 0,-1 1 0,1 0 0,-22 11 0,25-9-273,-1-1 0,0-1 0,0 1 0,-19 5 0,7-5-6553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7:44.5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631 343 24575,'-110'-2'0,"-124"4"0,211 0 0,0 1 0,0 1 0,0 1 0,1 1 0,-1 1 0,1 1 0,1 0 0,-37 22 0,53-26 0,1 0 0,0 1 0,0 0 0,0 0 0,1 0 0,-1 0 0,1 0 0,1 1 0,-1-1 0,1 1 0,0 0 0,0-1 0,0 1 0,1 0 0,0 0 0,0 0 0,1 12 0,-1-1 0,1 0 0,0 0 0,2 0 0,0 0 0,6 22 0,-5-30 0,0-1 0,0 0 0,1 1 0,1-1 0,-1-1 0,1 1 0,1-1 0,10 13 0,60 49 0,-17-17 0,-23-20 0,2-1 0,2-2 0,74 42 0,-74-48 0,121 67 0,-135-77 0,43 17 0,-44-20 0,40 22 0,-65-32 0,1 0 0,0 0 0,-1 0 0,1 0 0,-1 0 0,1 0 0,0 1 0,-1-1 0,1 0 0,-1 1 0,1-1 0,-1 0 0,1 1 0,-1-1 0,1 0 0,-1 1 0,0-1 0,1 1 0,-1-1 0,1 1 0,-1-1 0,0 1 0,0-1 0,1 1 0,-1-1 0,0 1 0,0-1 0,0 1 0,1 0 0,-1-1 0,0 1 0,0-1 0,0 1 0,0 0 0,0-1 0,0 1 0,0-1 0,0 1 0,0 0 0,-1-1 0,1 1 0,0-1 0,0 1 0,0-1 0,-1 1 0,1-1 0,0 1 0,-1-1 0,1 1 0,0-1 0,-1 1 0,1-1 0,-1 1 0,1-1 0,-1 0 0,1 1 0,-1-1 0,1 0 0,-1 1 0,1-1 0,-1 0 0,1 0 0,-1 1 0,0-1 0,0 0 0,-50 15 0,37-12 0,-17 4 0,-1-2 0,-37 3 0,47-7 0,0 0 0,0 2 0,1 1 0,0 0 0,0 2 0,-40 16 0,58-21 11,0 1 0,1 0 0,-1 0 0,0 0 0,1 0 0,-1 0-1,1 0 1,0 1 0,0-1 0,-2 4 0,3-5-62,0 0 0,1 0-1,-1 1 1,1-1 0,-1 0 0,1 0 0,-1 0-1,1 0 1,0 1 0,0-1 0,0 0 0,0 0-1,-1 1 1,2-1 0,-1 0 0,0 0-1,0 1 1,0-1 0,0 0 0,1 0 0,-1 0-1,1 1 1,-1-1 0,1 0 0,-1 0 0,1 0-1,0 0 1,1 1 0,9 9-6775</inkml:trace>
  <inkml:trace contextRef="#ctx0" brushRef="#br0" timeOffset="485.72">1597 1213 24575,'-1'-3'0,"1"-1"0,-1 1 0,0 0 0,0 0 0,0-1 0,0 1 0,-1 0 0,1 0 0,-1 0 0,0 0 0,0 1 0,0-1 0,0 0 0,-1 1 0,1 0 0,-1-1 0,1 1 0,-1 0 0,0 0 0,0 0 0,-5-2 0,-1-1 0,-1 1 0,0-1 0,0 1 0,0 1 0,-16-4 0,2 3 0,0 1 0,0 1 0,-1 1 0,-32 4 0,48-3 0,0 1 0,-1 0 0,1 1 0,0 0 0,0 1 0,0 0 0,1 0 0,-1 1 0,1 0 0,0 0 0,0 1 0,0 0 0,1 1 0,-11 9 0,15-12 0,1 0 0,-1 0 0,0 0 0,1 0 0,0 1 0,0-1 0,0 1 0,0-1 0,1 1 0,0 0 0,-1 0 0,1 0 0,1-1 0,-1 1 0,0 0 0,1 0 0,0 0 0,0 1 0,0-1 0,0 0 0,1 0 0,0-1 0,0 1 0,0 0 0,0 0 0,0 0 0,1 0 0,-1-1 0,1 1 0,0-1 0,4 6 0,-1-3 0,1 0 0,-1 0 0,1 0 0,0-1 0,0 0 0,0 0 0,1-1 0,-1 1 0,1-2 0,0 1 0,1-1 0,-1 0 0,1 0 0,-1-1 0,10 2 0,26 1 0,0-2 0,0-2 0,74-8 0,-99 4 0,1-1 0,-1 0 0,0-2 0,-1 0 0,1-1 0,24-13 0,95-65 0,-119 73 0,-1 0 0,0-1 0,0-1 0,-1 0 0,-1-1 0,-1-1 0,0 0 0,-1-1 0,17-28 0,-24 34 0,0 0 0,0 0 0,-2-1 0,1 0 0,-1 0 0,-1 0 0,0 0 0,-1-1 0,0 1 0,-1-1 0,0 0 0,-1 1 0,-1-1 0,0 1 0,-4-22 0,2 26 0,0 0 0,0-1 0,0 1 0,-1 0 0,-1 1 0,1-1 0,-1 1 0,0 0 0,-1 0 0,0 1 0,0-1 0,0 1 0,-1 0 0,0 1 0,0 0 0,0 0 0,-1 0 0,1 1 0,-1 0 0,0 1 0,-1 0 0,1 0 0,0 1 0,-12-2 0,-19-3 0,0 1 0,-1 3 0,-80 2 0,87 2 0,17-1 0,1 1 0,-1 0 0,1 1 0,-24 5 0,34-5 0,0 0 0,0 0 0,0 0 0,1 1 0,-1-1 0,0 1 0,1 0 0,0 0 0,-1 1 0,1-1 0,1 1 0,-1 0 0,0 0 0,1 1 0,0-1 0,-5 9 0,1 3-151,0 0-1,1 0 0,1 1 0,0-1 1,1 1-1,1 1 0,1-1 1,-1 24-1,3-14-6674</inkml:trace>
  <inkml:trace contextRef="#ctx0" brushRef="#br0" timeOffset="844.71">2282 965 24575,'1'7'0,"1"1"0,0-1 0,0 0 0,1 0 0,0 0 0,0 0 0,1-1 0,-1 1 0,1-1 0,1 0 0,-1 0 0,8 7 0,19 30 0,-23-26 0,-1 1 0,8 24 0,6 16 0,-10-42 0,-6-29 0,-7-29 0,-38-174 0,33 175 0,2 1 0,2-1 0,2 0 0,4-45 0,-2 5 0,0 70 11,0 0 0,1 0 0,0 0 0,0 0 0,1 0 0,1 0-1,-1 1 1,2 0 0,0 0 0,6-11 0,-9 17-64,1 0 0,-1 0 0,1 1 0,-1-1 0,1 1 0,0-1 0,1 1 0,-1 0 0,0 0 0,1 1 0,0-1 0,-1 1 0,1 0-1,0-1 1,0 2 0,0-1 0,1 0 0,-1 1 0,0 0 0,1 0 0,-1 0 0,0 1 0,1-1 0,-1 1 0,1 0 0,-1 0 0,7 2 0,8 4-6773</inkml:trace>
  <inkml:trace contextRef="#ctx0" brushRef="#br0" timeOffset="1235.15">3309 0 24575,'1'19'0,"1"0"0,1 1 0,6 21 0,6 46 0,-16 72 0,3 26 0,2-158 0,2 0 0,14 46 0,-11-47 0,-2 1 0,7 45 0,-8-33 0,2-1 0,1 1 0,2-2 0,23 53 0,-31-82 0,1 1 0,0-1 0,0-1 0,1 1 0,0 0 0,1-1 0,-1 0 0,1 0 0,0-1 0,1 0 0,14 11 0,-20-17-34,-1 0 0,1 0 0,-1 0 0,1 0 0,-1 0-1,1 0 1,-1 0 0,1 0 0,-1 0 0,1 0 0,-1 0 0,0-1 0,1 1-1,-1 0 1,1 0 0,-1-1 0,1 1 0,-1 0 0,0 0 0,1-1-1,-1 1 1,0 0 0,1-1 0,-1 1 0,0-1 0,1 1 0,-1 0 0,0-1-1,0 1 1,1-1 0,-1 1 0,0-1 0,0 1 0,0-1 0,0 1 0,0-1-1,0 1 1,0-1 0,0 0 0,3-14-6792</inkml:trace>
  <inkml:trace contextRef="#ctx0" brushRef="#br0" timeOffset="1471.03">3122 715 24575,'43'1'0,"2"0"0,1-2 0,-1-2 0,70-13 0,-42 1 0,-39 9 0,0-2 0,49-17 0,-60 18 0,0 1 0,0 0 0,38-3 0,20-4 0,-52 8-455,0 1 0,55 1 0,-57 2-6371</inkml:trace>
  <inkml:trace contextRef="#ctx0" brushRef="#br0" timeOffset="1735.38">4243 840 24575,'0'11'0,"0"8"0,5 1 0,2 3 0,5-3 0,0 1 0,-1 2 0,-3 2 0,2-3 0,0-5-8191</inkml:trace>
  <inkml:trace contextRef="#ctx0" brushRef="#br0" timeOffset="1937.12">4180 124 24575,'0'5'0,"0"7"0,0 8 0,0 4 0,0 5 0,6-4 0,1-5-8191</inkml:trace>
  <inkml:trace contextRef="#ctx0" brushRef="#br0" timeOffset="2487.61">4771 715 24575,'12'36'0,"1"-6"0,3 44 0,-8-41 0,7 62 0,-14-128 0,1-1 0,2 1 0,2-1 0,0 1 0,3 0 0,24-62 0,-27 82 0,1 1 0,1 0 0,0 0 0,1 0 0,0 1 0,0 0 0,1 1 0,14-11 0,8-4 0,57-35 0,-84 57-4,-1 1-1,0-1 1,1 1-1,0 0 1,0 0-1,-1 0 1,1 1-1,0-1 1,0 1 0,1 0-1,-1 1 1,0 0-1,0-1 1,0 1-1,0 1 1,1-1-1,8 3 1,-8-1 19,0 1 1,0 0-1,-1 0 0,1 0 1,-1 1-1,0-1 1,0 1-1,0 0 0,0 1 1,-1-1-1,1 1 1,5 9-1,2 5-227,-1 1 0,-1 0 0,0 0-1,-2 1 1,0 0 0,9 45 0,-12-39-6614</inkml:trace>
  <inkml:trace contextRef="#ctx0" brushRef="#br0" timeOffset="3162.14">6110 218 24575,'-70'-2'0,"42"0"0,-1 1 0,0 2 0,0 1 0,-30 5 0,52-5 0,1 1 0,-1-1 0,0 1 0,1 0 0,0 0 0,0 1 0,0 0 0,0 0 0,0 1 0,1-1 0,0 1 0,0 0 0,0 1 0,1-1 0,-1 1 0,1 0 0,1 0 0,-1 0 0,1 0 0,0 1 0,0-1 0,1 1 0,-2 9 0,-1 4 0,1 1 0,1 0 0,1 0 0,1 0 0,0 0 0,5 35 0,-4-54 0,0 0 0,0 0 0,0 0 0,0 0 0,0 0 0,1 0 0,-1 0 0,1 0 0,-1 0 0,1 0 0,0 0 0,0 0 0,0 0 0,0 0 0,0 0 0,0-1 0,0 1 0,1 0 0,-1-1 0,0 1 0,1-1 0,0 0 0,-1 1 0,1-1 0,0 0 0,0 0 0,-1 0 0,1 0 0,0-1 0,0 1 0,0 0 0,0-1 0,0 1 0,0-1 0,0 0 0,0 1 0,0-1 0,0 0 0,1 0 0,-1-1 0,0 1 0,0 0 0,0-1 0,2 0 0,2-1 0,0 0 0,1-1 0,-1 1 0,0-2 0,-1 1 0,1 0 0,0-1 0,-1 0 0,0-1 0,0 1 0,0-1 0,7-10 0,39-52 0,-31 44 0,-2-1 0,-1 0 0,-1-2 0,-1 1 0,13-33 0,-20 35 0,16-37 0,-24 59 0,0 1 0,0-1 0,1 1 0,-1-1 0,0 1 0,0 0 0,0-1 0,0 1 0,1-1 0,-1 1 0,0 0 0,1-1 0,-1 1 0,0 0 0,0 0 0,1-1 0,-1 1 0,1 0 0,-1-1 0,0 1 0,1 0 0,-1 0 0,1 0 0,-1 0 0,0-1 0,1 1 0,-1 0 0,1 0 0,-1 0 0,1 0 0,-1 0 0,0 0 0,1 0 0,-1 0 0,1 0 0,-1 0 0,1 1 0,9 15 0,-1 27 0,-3 10 0,2 0 0,3-1 0,1 0 0,3-1 0,39 89 0,-38-100 0,12 44 0,-19-53 0,1 0 0,2-1 0,21 40 0,-15-35 0,-1 0 0,-2 2 0,-1-1 0,11 56 0,-24-90 0,0 0 0,0 1 0,0-1 0,-1 1 0,0 0 0,1-1 0,-1 1 0,0-1 0,0 1 0,0 0 0,-1-1 0,1 1 0,-1-1 0,1 1 0,-1-1 0,0 1 0,0-1 0,0 1 0,0-1 0,0 0 0,-1 0 0,1 1 0,-1-1 0,-2 2 0,0-1 0,0-1 0,0 1 0,0-1 0,0 0 0,-1 0 0,1-1 0,-1 1 0,1-1 0,-1 0 0,0 0 0,0-1 0,1 1 0,-6-1 0,-29 2 0,0-2 0,0-2 0,0-2 0,-73-15 0,82 13-341,0 2 0,-1 1-1,-50 2 1,54 1-6485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8:44.22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876 3799 24575,'1'-2'0,"-1"1"0,1-1 0,0 1 0,-1 0 0,1-1 0,0 1 0,0 0 0,0 0 0,0 0 0,0 0 0,0 0 0,0 0 0,0 0 0,0 0 0,0 0 0,1 0 0,-1 0 0,0 1 0,1-1 0,-1 1 0,0-1 0,1 1 0,-1-1 0,1 1 0,-1 0 0,1 0 0,1 0 0,49-6 0,-46 6 0,455-4-883,-236 7-358,117-22-633,-263 10 1552,395-27-1120,60-10-90,-64 2-258,-365 41 1493,357-26 234,449-60 63,-680 80-335,96-7-227,142-29 1707,-332 29 133,-119 12-955,-1 0-1,1-1 1,-1 0 0,0-2-1,24-11 1,-27 6 698,-8 3-4251</inkml:trace>
  <inkml:trace contextRef="#ctx0" brushRef="#br0" timeOffset="-2599.98">1437 593 24575,'0'-2'0,"-1"1"0,1-1 0,-1 1 0,1 0 0,-1 0 0,0-1 0,0 1 0,0 0 0,0 0 0,0 0 0,0 0 0,0 0 0,0 0 0,0 0 0,-1 0 0,1 0 0,0 1 0,0-1 0,-1 0 0,1 1 0,-1-1 0,1 1 0,-1-1 0,1 1 0,0 0 0,-1 0 0,-2 0 0,-47-6 0,45 6 0,-38-3 0,-69 5 0,94 0 0,0 1 0,0 1 0,1 0 0,0 1 0,-1 1 0,-19 10 0,7-3 0,-1-2 0,0-1 0,-37 6 0,39-10 0,1 1 0,0 2 0,0 0 0,-36 19 0,20-6 0,-63 21 0,-24 11 0,116-46 0,-167 89 0,161-84 0,11-7 0,-1 1 0,1 0 0,0 1 0,0 0 0,1 0 0,0 1 0,1 1 0,-1-1 0,-7 13 0,4-1 0,5-11 0,1 0 0,1 1 0,-1 0 0,2 1 0,0-1 0,0 1 0,1 0 0,0 0 0,1 0 0,0 0 0,0 15 0,2-19 0,0 0 0,1 0 0,0 0 0,0 0 0,0 0 0,1 0 0,1-1 0,-1 1 0,1 0 0,1 0 0,-1-1 0,1 1 0,1-1 0,-1 0 0,1 0 0,1 0 0,-1 0 0,1-1 0,0 0 0,0 0 0,1 0 0,8 6 0,18 16 0,2-1 0,0-2 0,2-2 0,1-1 0,0-1 0,2-3 0,41 15 0,48 13-679,-55-19 439,82 19 1,120 29 239,243 52-3044,-445-110 2599,0-3 0,99 6 1,-102-13 366,-49-4 354,-1 2-1,0 0 1,29 11-1,-29-8-33,0-2 0,1 0-1,24 3 1,-37-8-225,52 9 496,-58-10-475,0 1 0,0-1 0,0 1 0,1 0-1,-1-1 1,0 1 0,0 0 0,0 0 0,0 0 0,0 0 0,-1 1 0,1-1-1,0 0 1,-1 1 0,1 0 0,0-1 0,-1 1 0,0 0 0,1-1 0,-1 1-1,2 4 1,-3-5 0,-1 0-1,1 0 0,0 0 0,0 0 1,-1 0-1,1-1 0,-1 1 0,1 0 1,-1 0-1,1 0 0,-1 0 0,0-1 1,1 1-1,-1 0 0,0 0 0,1-1 1,-1 1-1,0-1 0,0 1 0,0 0 1,0-1-1,0 0 0,0 1 0,1-1 1,-1 1-1,0-1 0,0 0 1,0 0-1,0 0 0,0 0 0,0 0 1,-2 0-1,-37 5 899,37-4-920,-150-2-328,-15 2-50,117 5 362,-59 17 0,-29 4 0,13-18 0,-41 6 0,89-9-23,63-6 42,0 1 0,0 0 1,0 1-1,0 0 1,0 1-1,-21 8 1,34-10-10,0-1 0,1 1 0,-1-1 0,1 1 0,-1 0 1,1 0-1,0 0 0,-1-1 0,1 2 0,0-1 0,0 0 0,-1 0 1,1 0-1,0 0 0,0 1 0,0-1 0,-1 2 0,2-2-3,0 0-1,1-1 1,-1 1-1,0-1 1,0 1-1,0 0 1,0-1-1,0 1 1,1 0-1,-1-1 1,0 1-1,1-1 1,-1 1-1,0 0 1,1-1 0,-1 1-1,1-1 1,-1 1-1,1-1 1,-1 0-1,1 1 1,-1-1-1,1 1 1,-1-1-1,1 0 1,0 1-1,0-1 1,5 3 21,1-1 0,-1 1 0,1-1 0,0-1 0,0 1 0,9 0 0,114-1-1393,-101-2-5461</inkml:trace>
  <inkml:trace contextRef="#ctx0" brushRef="#br0" timeOffset="-2255">2745 1 24575,'-2'0'0,"1"1"0,-1-1 0,1 1 0,0 0 0,-1-1 0,1 1 0,0 0 0,0 0 0,-1 0 0,1 0 0,0 0 0,0 0 0,0 0 0,0 0 0,1 1 0,-1-1 0,0 0 0,0 1 0,1-1 0,-1 0 0,1 1 0,-1-1 0,1 1 0,-1-1 0,1 1 0,0-1 0,0 3 0,-6 47 0,5-45 0,-2 374 0,6-193 0,-1-160 0,1 1 0,1-1 0,2 0 0,14 41 0,6 34 0,23 69 0,-17-66 0,-3 19 0,-17-69 0,34 100 0,-39-133 0,-1 1 0,-1-1 0,5 42 0,2 15 0,-4-7-107,-3 0-1,-6 115 0,0-153-934,1-54-5784</inkml:trace>
  <inkml:trace contextRef="#ctx0" brushRef="#br0" timeOffset="-2020.97">2557 1060 24575,'60'0'0,"-14"2"0,-1-3 0,0-1 0,85-17 0,-89 12 0,52-5 0,9 0 0,37-3 0,3-1 0,-67 7 0,1 3 0,135 7 0,-75 2 0,-44-3-1365,-65 0-5461</inkml:trace>
  <inkml:trace contextRef="#ctx0" brushRef="#br0" timeOffset="-1568">4052 1309 24575,'531'0'0,"-512"-1"0,1-1 0,0 0 0,0-2 0,-1 0 0,0-1 0,0-1 0,21-10 0,-27 10 0,1 0 0,-1-1 0,-1 0 0,1-1 0,-2-1 0,1 0 0,-1-1 0,0 0 0,-1 0 0,12-16 0,-19 22 0,0 0 0,0-1 0,0 1 0,-1-1 0,1 0 0,-1 1 0,-1-1 0,1 0 0,-1 0 0,1 0 0,-1 0 0,-1 0 0,1-1 0,-1 1 0,0 0 0,0 0 0,-1 0 0,1-1 0,-1 1 0,0 0 0,0 0 0,-1 0 0,0 0 0,0 1 0,0-1 0,0 0 0,-1 1 0,1-1 0,-1 1 0,0 0 0,-1 0 0,1 0 0,-1 0 0,0 1 0,0-1 0,0 1 0,0 0 0,0 0 0,-1 1 0,1-1 0,-1 1 0,0 0 0,0 0 0,-8-2 0,-20-1 0,1 2 0,-1 1 0,0 2 0,-39 4 0,-13 0 0,67-3 0,0 1 0,0 1 0,0 1 0,0 0 0,0 1 0,1 1 0,-26 13 0,-6 6 0,-55 37 0,74-40 0,2 2 0,1 0 0,-42 49 0,-3 1 0,57-56 0,0 0 0,2 0 0,0 1 0,-21 41 0,11-18 0,15-27 0,0 2 0,1-1 0,1 1 0,0 0 0,2 0 0,0 1 0,-3 26 0,3 11 0,4 60 0,1-66 0,-1-40 0,0-1 0,1 1 0,0-1 0,1 1 0,0-1 0,0 0 0,1 0 0,0 0 0,1 0 0,-1 0 0,1-1 0,1 1 0,0-1 0,0 0 0,10 11 0,-6-9 0,1-1 0,1 0 0,-1 0 0,1-1 0,0 0 0,1-1 0,0 0 0,0-1 0,20 6 0,-6-2 0,0-1 0,0-2 0,1 0 0,-1-2 0,1-1 0,0-1 0,0-1 0,1-2 0,46-6 0,-56 2 0,0 0 0,-1-1 0,1-1 0,-2 0 0,1-2 0,17-11 0,88-70 0,-108 79 0,109-82-1365,-107 81-5461</inkml:trace>
  <inkml:trace contextRef="#ctx0" brushRef="#br0" timeOffset="-1051.97">5453 1215 24575,'-4'1'0,"1"0"0,0 0 0,0 0 0,-1 0 0,1 1 0,0-1 0,0 1 0,0 0 0,1 0 0,-1 0 0,0 0 0,1 1 0,-1-1 0,-1 3 0,-2 2 0,0-1 0,1 0 0,0 1 0,-6 13 0,-7 27 0,3 0 0,2 1 0,2 1 0,2 0 0,-4 66 0,12-107 0,-12 70 0,7-52 0,2-1 0,-2 33 0,5-36 0,4 305 0,4-268 0,4 0 0,18 62 0,-20-87 0,0-5 0,2 0 0,19 37 0,5 15 0,57 120 0,-56-128 0,-36-71 0,1-1 0,-1 1 0,1-1 0,0 1 0,-1-1 0,1 1 0,0-1 0,0 0 0,0 0 0,0 1 0,0-1 0,0 0 0,0 0 0,1 0 0,-1 0 0,0 0 0,0 0 0,1 0 0,2 1 0,-4-3 0,1 1 0,0 0 0,0-1 0,-1 1 0,1-1 0,0 1 0,-1-1 0,1 1 0,0-1 0,-1 1 0,1-1 0,-1 0 0,1 1 0,-1-1 0,1 0 0,-1 0 0,1 1 0,-1-1 0,0 0 0,1 0 0,-1 1 0,0-1 0,0 0 0,0 0 0,1-1 0,0-6 0,1 0 0,-1 1 0,-1-1 0,1-1 0,-1 1 0,-2-14 0,-10-28 0,-1 1 0,-3 0 0,-41-87 0,2 0 0,17 38 0,-21-69 0,24 59 0,21 63 0,1-1 0,3 0 0,2-1 0,-4-70 0,11-193 0,4 143 0,-3 159 0,1-1 0,-1 1 0,2 0 0,-1-1 0,1 1 0,0 0 0,1 0 0,0 0 0,0 0 0,1 1 0,0-1 0,0 1 0,1 0 0,0 0 0,0 1 0,6-7 0,-1 4 0,0 0 0,1 1 0,-1 0 0,2 1 0,-1 0 0,1 1 0,0 0 0,0 1 0,19-6 0,16-5 0,0 2 0,1 2 0,1 3 0,0 1 0,56-1 0,-60 8 0,-29-1 0,-1 1 0,0 1 0,0 0 0,0 2 0,0-1 0,30 8 0,-44-8 0,0-1 0,0 0 0,0 0 0,0 0 0,0 1 0,1-1 0,-1 0 0,0 1 0,0-1 0,0 1 0,0 0 0,0-1 0,0 1 0,-1 0 0,1-1 0,0 1 0,0 0 0,0 0 0,-1 0 0,1 0 0,0 0 0,-1 0 0,1 0 0,-1 0 0,1 0 0,-1 0 0,0 0 0,1 0 0,-1 0 0,0 0 0,0 0 0,1 0 0,-1 1 0,0-1 0,0 0 0,-1 0 0,1 0 0,0 0 0,0 0 0,0 1 0,-1-1 0,1 0 0,0 0 0,-1 0 0,1 0 0,-1 0 0,0 0 0,1 0 0,-1 0 0,0 0 0,1-1 0,-1 1 0,0 0 0,0 0 0,0-1 0,0 1 0,0 0 0,0-1 0,-2 2 0,-6 5 0,-1 0 0,0-1 0,0 0 0,-15 5 0,-56 22 0,14-6 0,-70 39 0,125-59 0,-12 6 0,0 1 0,-26 22 0,44-31 0,0 0 0,0 1 0,1 0 0,-1 0 0,2 0 0,-1 0 0,1 1 0,0-1 0,0 1 0,0 0 0,1 1 0,-4 12 0,7-19-65,-1 1 0,1 0 0,0-1 0,0 1 0,0-1 0,0 1 0,0 0 0,0-1 0,0 1 0,0 0 0,1-1 0,-1 1 0,1 0 0,-1-1 0,1 1 0,-1-1 0,1 1 0,0-1 0,0 1 0,1 1 0,10 8-6761</inkml:trace>
  <inkml:trace contextRef="#ctx0" brushRef="#br0" timeOffset="-507.35">6480 406 24575,'35'-12'0,"-5"0"0,29 5 0,0 2 0,110 7 0,-52 1 0,-48-4 0,79 3 0,-143-2 0,-1 1 0,1 0 0,-1 0 0,1 0 0,-1 0 0,0 1 0,1 0 0,-1 0 0,0 0 0,0 0 0,0 0 0,-1 1 0,1 0 0,-1 0 0,1 0 0,-1 0 0,4 5 0,-6-5 0,1-1 0,-1 0 0,0 0 0,0 1 0,0-1 0,0 0 0,0 1 0,-1-1 0,1 1 0,-1-1 0,0 1 0,1-1 0,-1 1 0,0 0 0,-1-1 0,1 1 0,0-1 0,-1 1 0,1-1 0,-1 1 0,0-1 0,0 0 0,0 1 0,0-1 0,0 0 0,0 1 0,-1-1 0,1 0 0,-1 0 0,0 0 0,1 0 0,-3 1 0,-10 8 0,1 0 0,-1-1 0,-1 0 0,0-1 0,0-1 0,0-1 0,-1 0 0,-24 7 0,-17 8 0,20-6 0,-54 26 0,-29 21 0,62-34 0,-100 67 0,151-90 0,1 1 0,-1 0 0,1 0 0,0 0 0,1 1 0,0 0 0,0 0 0,0 0 0,1 1 0,0 0 0,1-1 0,0 1 0,-2 10 0,4-14 0,0 0 0,-1 0 0,1 1 0,1-1 0,-1 0 0,1 0 0,0 0 0,0 1 0,1-1 0,-1 0 0,1 0 0,0 1 0,1-1 0,-1 0 0,1 0 0,0-1 0,0 1 0,1 0 0,-1-1 0,1 1 0,0-1 0,0 0 0,0 0 0,6 5 0,2-1 0,1-1 0,0-1 0,0 0 0,1-1 0,-1 0 0,1-1 0,0 0 0,17 2 0,20 7 0,5 11 0,-46-19 0,1-1 0,-1 0 0,1 0 0,0 0 0,0-1 0,10 1 0,73 3 0,-62-6 0,0 1 0,42 10 0,17 2 0,-71-13 0,0 1 0,-1 1 0,1 1 0,-1 1 0,0 0 0,0 1 0,18 9 0,-32-11 0,1-1 0,-1 1 0,-1 0 0,1 0 0,0 0 0,-1 0 0,0 0 0,0 1 0,0 0 0,-1 0 0,0-1 0,0 1 0,0 0 0,0 1 0,-1-1 0,1 0 0,-1 0 0,-1 1 0,1-1 0,-1 1 0,0-1 0,-1 9 0,0 2 0,0 1 0,-1 0 0,-1-1 0,-1 0 0,0 1 0,-7 16 0,5-23 0,0 1 0,0-1 0,-1 0 0,0-1 0,-1 0 0,0 0 0,0 0 0,-1-1 0,0-1 0,0 1 0,-1-1 0,-11 6 0,-42 35 0,50-39 0,-1 0 0,1 0 0,-1-1 0,-1-1 0,0 0 0,-17 4 0,-43 23 0,21-8 28,-69 26 0,-7 2-662,47-21-731,65-22-4883</inkml:trace>
  <inkml:trace contextRef="#ctx0" brushRef="#br0" timeOffset="487.14">8067 1122 24575,'5'0'0,"2"0"-8191</inkml:trace>
  <inkml:trace contextRef="#ctx0" brushRef="#br0" timeOffset="676.48">8254 1837 24575,'0'0'-8191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12.04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98 996 24575,'1'90'0,"-3"101"0,2-189 0,0 0 0,0 0 0,0 0 0,0 0 0,-1 0 0,1 0 0,0 0 0,-1 0 0,0 0 0,1 0 0,-1 0 0,0 0 0,0-1 0,0 1 0,-2 3 0,1-6 0,1 1 0,0 0 0,0 0 0,0-1 0,0 1 0,0-1 0,0 1 0,0-1 0,0 1 0,0-1 0,0 0 0,0 1 0,1-1 0,-1 0 0,0 0 0,0 1 0,1-1 0,-1 0 0,0 0 0,1 0 0,-1 0 0,1 0 0,-1 0 0,1 0 0,0 0 0,-1 0 0,1 0 0,0-2 0,-6-12 0,0 0 0,2 0 0,0 0 0,0-1 0,2 1 0,0-1 0,0-23 0,1 15 0,-1 0 0,-8-31 0,2 8 0,1 0 0,3 0 0,2 0 0,4-63 0,0 21 0,-2 80 0,0 0 0,1 1 0,0-1 0,0 0 0,1 0 0,0 1 0,1-1 0,0 1 0,0-1 0,0 1 0,1 0 0,1 0 0,-1 1 0,1-1 0,1 1 0,-1 0 0,1 1 0,0-1 0,1 1 0,0 0 0,0 1 0,10-7 0,0-1-1365,0 3-5461</inkml:trace>
  <inkml:trace contextRef="#ctx0" brushRef="#br0" timeOffset="595.97">410 778 24575,'0'2'0,"1"0"0,-1-1 0,1 1 0,0 0 0,0-1 0,0 1 0,0-1 0,0 0 0,0 1 0,0-1 0,0 0 0,0 1 0,1-1 0,-1 0 0,0 0 0,1 0 0,-1 0 0,3 1 0,35 18 0,-30-16 0,7 4 0,1-1 0,1 0 0,-1-2 0,1 0 0,0-1 0,0 0 0,0-2 0,1 0 0,32-1 0,46-1 0,118-4 0,-206 3 0,0 0 0,-1-1 0,1 0 0,-1-1 0,1 0 0,-1 0 0,0-1 0,0 0 0,0-1 0,-1 1 0,0-1 0,0-1 0,8-7 0,-11 10 0,-1-1 0,0 1 0,0-1 0,0 0 0,0 0 0,0 0 0,-1 0 0,0 0 0,0-1 0,0 1 0,0-1 0,-1 0 0,1 1 0,-1-1 0,-1 0 0,1 0 0,-1 0 0,1 0 0,-1 1 0,-1-1 0,1 0 0,-1 0 0,0 0 0,0 1 0,-2-8 0,1 8 0,0 0 0,0-1 0,-1 1 0,0 0 0,1 0 0,-1 0 0,-1 1 0,1-1 0,0 1 0,-1 0 0,0 0 0,0 0 0,0 0 0,0 0 0,0 1 0,0 0 0,-1 0 0,1 0 0,-1 1 0,1-1 0,-1 1 0,-7-1 0,-10-1 0,0 1 0,0 1 0,-37 3 0,29-1 0,19 0 0,1 0 0,-1 1 0,1 0 0,0 1 0,0 0 0,0 0 0,0 1 0,0 1 0,1 0 0,0 0 0,0 0 0,0 1 0,0 1 0,1 0 0,0 0 0,1 0 0,0 1 0,0 0 0,0 0 0,1 1 0,1 0 0,-1 0 0,1 0 0,1 1 0,-5 10 0,1 3 0,1-1 0,1 1 0,1 0 0,1 1 0,1-1 0,1 1 0,1 0 0,3 33 0,-1-53 0,0 1 0,0-1 0,0 1 0,0-1 0,0 0 0,1 0 0,0 0 0,0 0 0,0 0 0,0 0 0,1 0 0,0-1 0,-1 1 0,1-1 0,0 0 0,1 0 0,-1 0 0,1 0 0,-1 0 0,1-1 0,0 0 0,0 1 0,0-2 0,0 1 0,0 0 0,0-1 0,1 0 0,-1 0 0,5 1 0,15 2 0,0-2 0,0 0 0,0-2 0,31-3 0,-15 1 0,8 1 0,108-7 0,-137 5 0,0 0 0,0-2 0,-1 0 0,0-1 0,0-1 0,23-12 0,-6 0-682,52-20-1,-65 32-6143</inkml:trace>
  <inkml:trace contextRef="#ctx0" brushRef="#br0" timeOffset="1019.53">1561 654 24575,'0'19'0,"-1"-4"0,1 1 0,0-1 0,1 0 0,0 1 0,1-1 0,1 0 0,1 0 0,0 0 0,1-1 0,13 29 0,46 81 0,-56-112 0,-1 3 0,2-1 0,0-1 0,20 24 0,-28-35 0,0-1 0,0 1 0,0-1 0,1 1 0,-1-1 0,0 0 0,1 0 0,-1 0 0,1 0 0,-1 0 0,1 0 0,-1 0 0,1 0 0,0 0 0,-1-1 0,1 1 0,0-1 0,0 1 0,0-1 0,-1 0 0,1 0 0,0 0 0,0 0 0,0 0 0,-1 0 0,1 0 0,0-1 0,0 1 0,0 0 0,-1-1 0,1 0 0,0 1 0,-1-1 0,1 0 0,-1 0 0,1 0 0,0 0 0,-1 0 0,0 0 0,1-1 0,-1 1 0,0 0 0,2-3 0,16-24 0,-2-1 0,0-1 0,-3 0 0,0-1 0,13-45 0,7-13 0,-11 23 0,-15 42 0,1 0 0,20-37 0,-25 52 6,0-1 0,-1 1 1,1-1-1,1-12 0,-4 17-93,0-1-1,0 0 1,1 1 0,-1-1 0,1 1-1,1-1 1,-1 1 0,1 0 0,0 0-1,0 0 1,0 0 0,1 1 0,-1-1-1,1 1 1,7-7 0,6 2-6739</inkml:trace>
  <inkml:trace contextRef="#ctx0" brushRef="#br0" timeOffset="1485.78">2277 716 24575,'35'13'0,"-4"-1"0,31 1 0,-34-6 0,0-1 0,1-1 0,-1-2 0,43 1 0,-61-5 0,1 0 0,-1-1 0,0 0 0,0 0 0,0-1 0,0 0 0,0-1 0,0 0 0,-1-1 0,0 0 0,0 0 0,0-1 0,-1 0 0,0-1 0,0 0 0,0 0 0,-1 0 0,0-1 0,-1 0 0,1-1 0,-2 0 0,1 1 0,-1-2 0,-1 1 0,5-13 0,-2 3 0,-3 7 0,0 1 0,-1-1 0,0 0 0,-1 0 0,2-24 0,-4 33 0,0 0 0,-1 0 0,1 1 0,-1-1 0,0 0 0,1 0 0,-1 0 0,0 1 0,-1-1 0,1 0 0,0 1 0,-1-1 0,0 1 0,1-1 0,-1 1 0,0 0 0,0 0 0,0 0 0,0 0 0,-1 0 0,1 0 0,-1 1 0,1-1 0,-1 1 0,1 0 0,-1-1 0,0 1 0,0 1 0,1-1 0,-6-1 0,-8-1 0,-1 0 0,0 1 0,0 1 0,0 0 0,0 1 0,0 1 0,0 1 0,1 1 0,-1 0 0,0 1 0,-26 10 0,37-12 0,1 1 0,0 0 0,0 1 0,0-1 0,0 1 0,1 0 0,-1 0 0,1 1 0,0-1 0,0 1 0,-4 7 0,-35 67 0,10-16 0,27-53 0,0 1 0,1-1 0,0 1 0,1 1 0,0-1 0,1 1 0,0-1 0,1 1 0,0 0 0,1 0 0,0 13 0,1-17 0,0 0 0,1 1 0,0-1 0,0 0 0,1 0 0,0 0 0,0 0 0,1 0 0,0 0 0,1-1 0,-1 0 0,1 1 0,1-1 0,-1 0 0,1-1 0,11 12 0,-8-12 0,0 0 0,0-1 0,1 0 0,-1-1 0,1 1 0,0-2 0,0 1 0,0-1 0,1-1 0,12 2 0,6 1 0,1-2 0,33-1 0,-27-2-104,12 1 223,80-9-1,-112 5-268,1 0 1,-1 0-1,0-2 0,-1 0 0,1 0 0,-1-1 0,0-1 1,-1-1-1,16-10 0,-13 7-6676</inkml:trace>
  <inkml:trace contextRef="#ctx0" brushRef="#br0" timeOffset="1893.17">3305 716 24575,'-4'0'0,"-21"-1"0,0 2 0,0 0 0,1 2 0,-42 9 0,59-10 0,1 0 0,0 0 0,0 1 0,1-1 0,-1 1 0,1 0 0,-1 1 0,1 0 0,0 0 0,0 0 0,0 0 0,1 0 0,0 1 0,-1 0 0,2 0 0,-1 0 0,1 1 0,-1-1 0,1 1 0,1 0 0,-1 0 0,1 0 0,0 0 0,-1 6 0,2-9 0,1 0 0,-1 0 0,0-1 0,1 1 0,0 0 0,0 0 0,0 0 0,0 0 0,0 0 0,0-1 0,1 1 0,-1 0 0,1 0 0,0 0 0,0-1 0,0 1 0,0 0 0,0-1 0,1 1 0,-1-1 0,1 1 0,0-1 0,-1 0 0,1 0 0,0 0 0,1 0 0,-1 0 0,0 0 0,0-1 0,1 1 0,-1 0 0,1-1 0,-1 0 0,1 0 0,0 0 0,-1 0 0,1 0 0,5 0 0,11 3 0,0-2 0,1-1 0,-1 0 0,35-4 0,-25 1 0,-17 2 0,11 1 0,0-2 0,0-1 0,0 0 0,0-2 0,0 0 0,-1-2 0,1-1 0,25-10 0,-43 14 0,10-4 0,0 0 0,0 1 0,1 0 0,29-6 0,-43 12 0,1-1 0,0 1 0,0-1 0,0 1 0,-1 0 0,1 0 0,0 0 0,0 1 0,0-1 0,-1 1 0,1-1 0,0 1 0,-1 0 0,1 0 0,-1 0 0,1 0 0,-1 1 0,1-1 0,-1 1 0,0-1 0,1 1 0,-1 0 0,0 0 0,0 0 0,0 0 0,-1 0 0,1 0 0,0 1 0,-1-1 0,0 1 0,1-1 0,-1 1 0,0-1 0,0 1 0,-1 0 0,2 2 0,2 13 0,0 1 0,1 1 0,1-1 0,1-1 0,14 30 0,-20-45 0,1 0 0,0 0 0,-1 0 0,1 0 0,1 0 0,-1-1 0,0 1 0,0-1 0,1 1 0,0-1 0,-1 0 0,1 0 0,0 0 0,0 0 0,0-1 0,0 1 0,1-1 0,-1 0 0,0 0 0,0 0 0,1 0 0,-1 0 0,1-1 0,-1 0 0,1 1 0,-1-1 0,1-1 0,-1 1 0,0 0 0,1-1 0,-1 0 0,1 0 0,4-2 0,-4 2-29,-1-1 0,0 0 0,0 0 0,0-1 0,0 1 0,-1-1 0,1 1 0,-1-1 0,1 0-1,-1 0 1,0 0 0,0 0 0,3-6 0,0 0-929,6-8-5868</inkml:trace>
  <inkml:trace contextRef="#ctx0" brushRef="#br0" timeOffset="2192.2">4083 1 24575,'0'624'0,"2"-597"0,1 1 0,1-1 0,2 0 0,9 28 0,6 28 0,-14-54-227,1 0-1,1-1 1,2 0-1,0-1 1,23 38-1,-23-46-6598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27.01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565 1 24575,'-16'44'0,"6"-21"0,-53 135 0,30-47 0,-34 229 0,53-266 0,8-47 0,2 0 0,-3 39 0,8 113 0,-1-173-25,0-11 85,0-12-1460,0-3-5426</inkml:trace>
  <inkml:trace contextRef="#ctx0" brushRef="#br0" timeOffset="250.68">1 644 24575,'44'0'0,"2"1"0,-1-2 0,0-2 0,71-13 0,-73 9-30,0 1 0,1 3-1,80 4 1,-47 1-1214,-50-2-5582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42.3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65 556 24575,'0'906'0,"0"-943"0,-1 0 0,-2 1 0,-12-56 0,-17-115 0,24 139 0,2 0 0,7-117 0,1 70 0,0 94 0,0 0 0,2 0 0,0 0 0,1 0 0,14-34 0,2-9 0,-10 36 0,0 0 0,2 1 0,1 1 0,2 0 0,0 0 0,28-32 0,-20 29 0,52-50 0,-68 72 0,0 0 0,0 1 0,1 0 0,-1 0 0,1 1 0,0 0 0,1 0 0,-1 1 0,1 0 0,0 1 0,19-4 0,-26 7 0,1-1 0,-1 1 0,0 0 0,1 1 0,-1-1 0,0 0 0,1 1 0,-1 0 0,0 0 0,1 0 0,-1 0 0,0 0 0,0 1 0,0-1 0,0 1 0,0 0 0,-1 0 0,1 0 0,0 0 0,-1 0 0,0 1 0,1-1 0,-1 1 0,0-1 0,0 1 0,0 0 0,-1 0 0,1 0 0,-1 0 0,0 0 0,1 0 0,-1 1 0,-1-1 0,1 0 0,0 5 0,2 13 0,0 1 0,-2 0 0,-1 0 0,-3 31 0,1-19 0,2-21 0,0 0 0,-1-1 0,-1 1 0,0-1 0,0 1 0,-9 22 0,8-30 0,1 0 0,-1-1 0,0 1 0,0-1 0,0 0 0,-1 0 0,0 0 0,1 0 0,-2-1 0,1 1 0,0-1 0,0 0 0,-1 0 0,0-1 0,1 0 0,-1 1 0,0-1 0,0-1 0,-7 2 0,-8 4 0,0 0 0,0 1 0,-29 17 0,24-13-455,0-1 0,-35 10 0,39-15-6371</inkml:trace>
  <inkml:trace contextRef="#ctx0" brushRef="#br0" timeOffset="406.69">594 744 24575,'9'8'0,"-4"-4"0,-1 0 0,0 0 0,0 0 0,0 1 0,0-1 0,-1 1 0,1 0 0,-1 0 0,-1 0 0,1 1 0,-1-1 0,0 1 0,0-1 0,2 12 0,10 57 0,-4 2 0,1 105 0,-12-669 0,1 480 0,0-1 0,0 1 0,1-1 0,0 1 0,0 0 0,1-1 0,0 1 0,0 0 0,1 0 0,0 0 0,1 0 0,0 1 0,0 0 0,0-1 0,11-11 0,20-19 0,-31 32 0,1 1 0,-1-1 0,1 1 0,0 0 0,0 0 0,1 1 0,-1-1 0,1 1 0,0 1 0,0-1 0,1 1 0,-1 0 0,1 0 0,-1 1 0,1 0 0,11-2 0,-12 2-52,1 1-1,-1 0 1,1 1-1,-1 0 1,1 0-1,-1 0 1,1 1-1,-1-1 1,1 2-1,-1-1 1,0 1-1,1 0 1,-1 0-1,0 1 1,0-1-1,0 1 1,-1 1-1,1-1 1,-1 1-1,0 0 1,0 0-1,0 1 1,0 0-1,-1-1 0,5 8 1,3 3-6774</inkml:trace>
  <inkml:trace contextRef="#ctx0" brushRef="#br0" timeOffset="640.97">1279 649 24575,'0'332'0,"0"-332"0,0 0 0,0 0 0,0 0 0,0 0 0,0 0 0,0 0 0,1 0 0,-1 0 0,0 0 0,0 0 0,0 0 0,0 0 0,0 0 0,0 0 0,0 0 0,0 0 0,0 0 0,1 0 0,-1 0 0,0 0 0,0 0 0,0 0 0,0 0 0,0 0 0,0 0 0,0 0 0,0 0 0,0 0 0,0 0 0,1 0 0,-1 0 0,0 0 0,0 0 0,0 0 0,0 0 0,0 1 0,0-1 0,0 0 0,0 0 0,0 0 0,0 0 0,0 0 0,0 0 0,0 0 0,0 0 0,0 0 0,0 0 0,0 1 0,0-1 0,0 0 0,0 0 0,0 0 0,0 0 0,0 0 0,8-14 0,5-21 0,-8-11-132,-2 1 0,-3-52 0,-1 63-837,1 6-5857</inkml:trace>
  <inkml:trace contextRef="#ctx0" brushRef="#br0" timeOffset="830.56">1309 152 24575,'0'5'0,"0"8"0,0 6 0,0 5 0,0 4 0,0 3 0,0 1 0,6-5 0,6-7 0,2-1 0,4-5 0,-2-4-8191</inkml:trace>
  <inkml:trace contextRef="#ctx0" brushRef="#br0" timeOffset="1208.57">2088 494 24575,'-39'0'0,"2"-1"0,-1 2 0,-57 8 0,84-7 0,1 0 0,0 1 0,-1 0 0,1 1 0,0 0 0,1 0 0,-1 1 0,1 0 0,0 1 0,0 0 0,0 1 0,1-1 0,-12 14 0,8-7 0,0-1 0,2 2 0,0-1 0,0 1 0,1 1 0,1 0 0,0 0 0,2 0 0,-1 1 0,2 0 0,0 1 0,1-1 0,-3 22 0,6-29 0,1 0 0,-1 0 0,2 0 0,-1 0 0,1-1 0,0 1 0,1 0 0,0 0 0,4 10 0,-4-15 0,0-1 0,0 1 0,0 0 0,1-1 0,0 0 0,-1 0 0,1 0 0,0 0 0,0 0 0,1 0 0,-1-1 0,0 0 0,1 1 0,0-1 0,-1-1 0,1 1 0,0 0 0,0-1 0,0 0 0,0 0 0,8 1 0,29 2 0,0-1 0,1-3 0,45-5 0,19 1 0,-67 3-455,0-1 0,69-13 0,-82 9-6371</inkml:trace>
  <inkml:trace contextRef="#ctx0" brushRef="#br0" timeOffset="1736.65">2336 681 24575,'1'-1'0,"-1"-1"0,1 1 0,-1 0 0,1-1 0,0 1 0,0 0 0,-1-1 0,1 1 0,0 0 0,0 0 0,0 0 0,0 0 0,1 0 0,-1 0 0,0 0 0,0 0 0,1 1 0,-1-1 0,0 0 0,1 1 0,-1-1 0,0 1 0,1-1 0,-1 1 0,1 0 0,-1 0 0,3-1 0,48-5 0,-47 6 0,11-1 0,-1 0 0,1-1 0,-1 0 0,1-2 0,-1 1 0,21-10 0,-30 10 0,-1 0 0,1 0 0,0-1 0,-1 0 0,0 0 0,0 0 0,0-1 0,-1 0 0,1 0 0,-1 0 0,0 0 0,-1 0 0,1-1 0,-1 0 0,0 0 0,0 0 0,-1 0 0,2-7 0,3-9 0,-2 10 0,-1 0 0,0 0 0,-1 0 0,-1-1 0,2-19 0,-4 30 0,0 1 0,0-1 0,0 1 0,-1-1 0,1 1 0,0-1 0,-1 0 0,1 1 0,-1-1 0,1 1 0,-1 0 0,0-1 0,0 1 0,0-1 0,1 1 0,-1 0 0,0 0 0,-1 0 0,1-1 0,-2 0 0,1 1 0,-1 0 0,1 0 0,-1 0 0,0 0 0,1 1 0,-1-1 0,0 1 0,1 0 0,-1 0 0,0 0 0,0 0 0,1 0 0,-1 1 0,0-1 0,1 1 0,-4 1 0,-1-1 0,0 1 0,1 1 0,0-1 0,-1 1 0,1 0 0,0 0 0,0 1 0,0 0 0,1 0 0,-6 5 0,0 3 0,0 0 0,1 1 0,-10 15 0,12-19 0,1 0 0,-1 0 0,-1-1 0,-15 12 0,14-13 0,1 1 0,0 1 0,0 0 0,-9 11 0,3 4 0,0 0 0,2 1 0,1 0 0,-15 44 0,24-58 0,0-1 0,1 1 0,0 0 0,1 0 0,0 0 0,1 0 0,0 0 0,1 0 0,0 0 0,1 0 0,3 14 0,-4-21 0,1-1 0,-1 0 0,0 1 0,1-1 0,-1 0 0,1 0 0,0 0 0,0 0 0,0-1 0,1 1 0,-1-1 0,1 1 0,-1-1 0,1 0 0,0 0 0,0 0 0,0 0 0,0 0 0,0-1 0,0 1 0,0-1 0,1 0 0,-1 0 0,0 0 0,1 0 0,-1-1 0,1 1 0,-1-1 0,1 0 0,-1 0 0,1 0 0,-1-1 0,0 1 0,1-1 0,-1 0 0,1 0 0,-1 0 0,5-2 0,2-1 0,0 0 0,0-1 0,0 0 0,-1-1 0,0 1 0,0-2 0,14-12 0,55-62 0,-30 29 0,13-9-1365,-46 50-5461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38.5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655 904 24575,'-24'1'0,"0"1"0,1 1 0,-1 1 0,-45 14 0,-90 44 0,109-41 0,27-10 0,1 1 0,0 1 0,1 2 0,-25 20 0,4-2 0,33-26 0,2 0 0,-1 0 0,1 1 0,0 1 0,0-1 0,1 1 0,0 0 0,0 0 0,1 1 0,1 0 0,0 0 0,0 0 0,-3 13 0,1 2 0,1 0 0,2 0 0,0 1 0,1 35 0,2-48 0,1 0 0,0 0 0,0 0 0,1-1 0,1 1 0,0 0 0,8 17 0,-8-22 0,1-1 0,0 0 0,1 0 0,0 0 0,0-1 0,0 1 0,1-1 0,0 0 0,0-1 0,1 0 0,0 0 0,12 8 0,13 5 0,1-2 0,0-1 0,1-1 0,1-2 0,46 10 0,-34-16 0,0-2 0,0-3 0,51-4 0,0 0 0,-82 2 13,0 0 0,0-2 0,25-7-1,0 1-1428,-18 5-5410</inkml:trace>
  <inkml:trace contextRef="#ctx0" brushRef="#br0" timeOffset="362.13">1589 0 24575,'-2'37'0,"-2"0"0,-2 0 0,-2 0 0,0-1 0,-17 40 0,-4 20 0,12 4 0,3-13 0,-17 99 0,0 1 0,23-139 0,3 0 0,1 0 0,7 97 0,-1-40 0,-2-76 0,-1-13 0,0 1 0,2 0 0,0 0 0,0-1 0,2 1 0,0-1 0,1 0 0,0 1 0,11 24 0,-5-22-91,-8-14-36,1 1-1,-1-1 1,1 0-1,0 0 1,1 0 0,-1 0-1,1 0 1,0-1-1,7 7 1,5-1-6699</inkml:trace>
  <inkml:trace contextRef="#ctx0" brushRef="#br0" timeOffset="844.78">1994 1276 24575,'15'1'0,"0"1"0,-1 0 0,27 8 0,26 4 0,-44-11 0,1-2 0,38-2 0,-55 0 0,0 0 0,0 0 0,-1 0 0,1-1 0,-1 0 0,1 0 0,-1-1 0,1 0 0,-1 0 0,0 0 0,-1-1 0,1 0 0,8-8 0,17-15 0,-20 18 0,0-1 0,0-1 0,18-22 0,-27 30 0,0 0 0,0 0 0,0 0 0,-1 0 0,1-1 0,-1 1 0,0-1 0,0 1 0,0-1 0,0 1 0,0-1 0,-1 1 0,0-1 0,0 0 0,0 1 0,0-1 0,0 0 0,-1 1 0,0-1 0,-2-6 0,1 7 0,0-1 0,0 1 0,-1 0 0,1 0 0,-1 0 0,0 1 0,0-1 0,0 1 0,0 0 0,0-1 0,-1 1 0,1 1 0,0-1 0,-1 0 0,0 1 0,1 0 0,-1 0 0,0 0 0,0 0 0,0 1 0,0-1 0,-4 1 0,-2-1 0,1 0 0,-1 1 0,1 0 0,0 1 0,-1 0 0,1 0 0,0 1 0,-12 3 0,1 7 0,0 0 0,0 1 0,1 2 0,1-1 0,0 2 0,1 1 0,-19 24 0,0-3 0,24-28 0,2 1 0,-1 1 0,2 0 0,-1 0 0,2 1 0,0 0 0,0 1 0,1 0 0,1 0 0,0 0 0,1 1 0,1-1 0,0 1 0,-3 29 0,6-36 0,1 1 0,0-1 0,0 1 0,0-1 0,1 1 0,1-1 0,-1 0 0,1 1 0,1-1 0,-1 0 0,2 0 0,5 12 0,-5-15 0,0 0 0,-1 0 0,2-1 0,-1 1 0,1-1 0,-1 0 0,1 0 0,0-1 0,0 1 0,1-1 0,-1 0 0,1 0 0,0-1 0,0 0 0,-1 0 0,1 0 0,1-1 0,6 1 0,78 13 0,1-5 0,96-2 0,217-9-1365,-379 1-5461</inkml:trace>
  <inkml:trace contextRef="#ctx0" brushRef="#br0" timeOffset="1473.1">3239 1464 24575,'-20'-1'0,"0"2"0,0 0 0,0 1 0,0 1 0,0 1 0,1 1 0,-1 0 0,1 2 0,1 0 0,-1 1 0,-17 11 0,21-10 0,1-2 0,0 1 0,0 1 0,-14 13 0,26-20 0,-1 0 0,1 0 0,0 0 0,0 0 0,0 1 0,0-1 0,0 1 0,0-1 0,1 1 0,-1 0 0,1 0 0,0 0 0,0-1 0,0 1 0,0 0 0,0 0 0,1 0 0,-1 1 0,1-1 0,0 0 0,0 0 0,0 0 0,1 3 0,0-3 0,1-1 0,-1 1 0,1-1 0,-1 0 0,1 0 0,0 0 0,0 0 0,0 0 0,0 0 0,0 0 0,1 0 0,-1-1 0,0 0 0,1 1 0,-1-1 0,1 0 0,0 0 0,-1 0 0,1 0 0,0-1 0,-1 1 0,1-1 0,0 0 0,0 1 0,3-1 0,10 1 0,0-1 0,31-2 0,-24-2 0,-1-1 0,1-1 0,-1-1 0,0-1 0,-1-1 0,33-18 0,-20 10 0,44-16 0,-67 29 0,4-1 0,1 0 0,0 0 0,20-2 0,-33 7 0,0-1 0,0 1 0,0 0 0,0 0 0,0 0 0,0 0 0,0 0 0,0 1 0,0-1 0,-1 1 0,1 0 0,0 0 0,0 0 0,0 0 0,-1 0 0,1 1 0,0-1 0,-1 1 0,0-1 0,1 1 0,-1 0 0,0 0 0,0 0 0,3 4 0,21 36 0,-9-12 0,2-1 0,1-1 0,23 26 0,130 119 0,-168-168 0,0-1 0,0 1 0,1-1 0,0 0 0,-1 0 0,1 0 0,1-1 0,-1 0 0,11 4 0,-16-7 0,0 0 0,0 0 0,0-1 0,0 1 0,0 0 0,0-1 0,0 1 0,-1-1 0,1 1 0,0-1 0,0 1 0,0-1 0,-1 0 0,1 1 0,0-1 0,-1 0 0,1 0 0,-1 0 0,1 1 0,0-1 0,-1 0 0,0 0 0,1 0 0,-1 0 0,0 0 0,1 0 0,-1 0 0,0 0 0,0 0 0,0 1 0,0-1 0,0 0 0,0-2 0,1-34 0,-3 22 0,-2-1 0,1 0 0,-2 1 0,0 0 0,-9-17 0,8 18 0,0 0 0,1-1 0,0 0 0,2 0 0,-5-28 0,-7-59 0,9 73 0,-5-58 0,10 56 0,0 4 0,1 0 0,5-41 0,-4 60 0,1 0 0,0 0 0,0 0 0,1 0 0,0 0 0,0 1 0,1-1 0,0 1 0,0 0 0,1 0 0,0 0 0,8-8 0,-12 14 0,17-18 0,0 2 0,33-25 0,-44 37 0,1 0 0,0 1 0,0 0 0,0 0 0,0 1 0,1 0 0,-1 1 0,1 0 0,0 0 0,17-1 0,-12 3 0,0 0 0,0 0 0,-1 2 0,1-1 0,0 2 0,-1 0 0,1 1 0,23 9 0,-29-9 0,-1-1 0,0 1 0,0 1 0,-1-1 0,1 1 0,-1 0 0,0 1 0,0-1 0,-1 1 0,1 1 0,-1-1 0,-1 1 0,1-1 0,-1 1 0,0 1 0,4 10 0,26 70-1365,-24-71-5461</inkml:trace>
  <inkml:trace contextRef="#ctx0" brushRef="#br0" timeOffset="1692.11">4515 1432 24575,'-1'80'0,"3"89"0,-2-167 0,0 0 0,0 0 0,0 0 0,1 0 0,-1 0 0,1 0 0,-1-1 0,1 1 0,-1 0 0,1 0 0,0 0 0,0 0 0,0-1 0,0 1 0,0 0 0,3 2 0,5-8 0,-3-20 0,-2-92-848,-4 108 331,0-22-6309</inkml:trace>
  <inkml:trace contextRef="#ctx0" brushRef="#br0" timeOffset="1895.53">4609 654 24575,'-1'65'0,"0"-16"0,6 68 0,-3-103 0,0 0 0,0-1 0,2 0 0,-1 1 0,2-1 0,0 0 0,0-1 0,1 1 0,13 18 0,17 26-1365,-24-43-5461</inkml:trace>
  <inkml:trace contextRef="#ctx0" brushRef="#br0" timeOffset="2315.85">4982 1494 24575,'-1'26'0,"1"0"0,1 0 0,1-1 0,1 1 0,1 0 0,2-1 0,0 0 0,16 39 0,-21-64 0,-1 1 0,0 0 0,0-1 0,0 1 0,1 0 0,-1-1 0,0 1 0,1-1 0,-1 1 0,1 0 0,-1-1 0,1 1 0,-1-1 0,1 1 0,-1-1 0,1 1 0,-1-1 0,1 0 0,-1 1 0,1-1 0,0 0 0,-1 1 0,1-1 0,0 0 0,-1 0 0,1 0 0,0 1 0,-1-1 0,2 0 0,12-15 0,1-32 0,11-123 0,-12 97 0,-7 34 0,19-61 0,-21 86 0,1 0 0,0 1 0,1 0 0,1 0 0,0 1 0,0-1 0,21-20 0,47-54 0,-75 85 0,1 0 0,0 0 0,0 0 0,0 0 0,0 0 0,0 1 0,0-1 0,0 1 0,0 0 0,0-1 0,1 1 0,-1 0 0,1 0 0,-1 0 0,0 1 0,1-1 0,0 1 0,-1-1 0,1 1 0,-1 0 0,1 0 0,-1 0 0,1 0 0,0 1 0,-1-1 0,1 1 0,-1-1 0,1 1 0,-1 0 0,1 0 0,-1 0 0,4 2 0,-3 0 0,1 0 0,-1 0 0,1 0 0,-1 1 0,0-1 0,0 1 0,0 0 0,-1 0 0,1 0 0,-1 0 0,0 0 0,0 1 0,-1-1 0,1 1 0,-1-1 0,0 1 0,0 5 0,4 54 39,-7 123 0,-1-60-1482,3-100-5383</inkml:trace>
  <inkml:trace contextRef="#ctx0" brushRef="#br0" timeOffset="2970.67">5761 1152 24575,'-35'-12'0,"4"0"0,25 11 0,0 0 0,0 1 0,0 0 0,0 0 0,1 0 0,-1 0 0,0 1 0,0 0 0,0 1 0,0-1 0,1 1 0,-1 0 0,1 1 0,-1-1 0,1 1 0,0 0 0,0 0 0,0 1 0,0-1 0,1 1 0,-1 0 0,1 0 0,0 1 0,0-1 0,1 1 0,0 0 0,-4 6 0,1 0 0,0 1 0,1-1 0,0 1 0,1 0 0,0 0 0,1 1 0,1-1 0,0 0 0,0 1 0,2 0 0,0 25 0,0-36 0,0 0 0,0 0 0,0 0 0,0 0 0,0 0 0,1 0 0,-1 0 0,1 0 0,-1 0 0,1 0 0,0 0 0,0 0 0,-1 0 0,1-1 0,1 1 0,-1 0 0,0 0 0,0-1 0,1 1 0,-1-1 0,1 1 0,-1-1 0,1 0 0,0 0 0,-1 0 0,1 1 0,0-1 0,0-1 0,0 1 0,0 0 0,0 0 0,0-1 0,0 1 0,0-1 0,0 0 0,0 0 0,0 1 0,0-1 0,0 0 0,0-1 0,0 1 0,0 0 0,0-1 0,0 1 0,2-2 0,4 0 0,-1-1 0,0 0 0,0 0 0,-1 0 0,1-1 0,-1 0 0,1-1 0,-1 1 0,0-1 0,-1 0 0,8-9 0,28-36 0,-21 27 0,-1 0 0,-1-1 0,-1-1 0,21-42 0,-6 4 0,-21 44 0,-1-1 0,9-24 0,-19 44 0,0 0 0,0 0 0,0 0 0,1 0 0,-1-1 0,0 1 0,0 0 0,0 0 0,0 0 0,1 0 0,-1 0 0,0 0 0,0 0 0,0-1 0,1 1 0,-1 0 0,0 0 0,0 0 0,0 0 0,1 0 0,-1 0 0,0 0 0,0 0 0,0 0 0,1 0 0,-1 0 0,0 0 0,0 0 0,0 0 0,1 0 0,-1 0 0,0 1 0,0-1 0,0 0 0,1 0 0,-1 0 0,0 0 0,0 0 0,0 0 0,0 1 0,1-1 0,-1 0 0,0 0 0,0 0 0,0 0 0,0 1 0,0-1 0,0 0 0,1 0 0,-1 0 0,0 0 0,0 1 0,0-1 0,0 0 0,0 0 0,0 1 0,0-1 0,0 0 0,0 0 0,0 0 0,0 1 0,0-1 0,0 0 0,0 0 0,0 1 0,7 16 0,0 11 0,-1 0 0,3 47 0,5 26 0,-5-52 0,-7-34 0,0 1 0,2-1 0,0 0 0,1 0 0,6 15 0,10 16 0,-2 0 0,-2 1 0,-2 1 0,12 63 0,-16-67 0,-7-33 0,-1 0 0,0 0 0,-1 0 0,0 0 0,-1 0 0,0 12 0,-1-20 0,0-1 0,-1 1 0,1 0 0,-1-1 0,0 0 0,1 1 0,-1-1 0,-1 1 0,1-1 0,0 0 0,0 0 0,-1 0 0,0 0 0,1 0 0,-1 0 0,0 0 0,0 0 0,0-1 0,0 1 0,0-1 0,0 1 0,0-1 0,-1 0 0,1 0 0,0 0 0,-1 0 0,1 0 0,-1-1 0,1 1 0,-1-1 0,-3 1 0,-27 3 0,-1-2 0,1-1 0,-47-4 0,49 0 0,1 2 0,-1 1 0,0 2 0,-44 7 0,42-4-94,-35 8 307,66-13-281,-1 1 1,1-1 0,0 1-1,-1 0 1,1 0-1,0 0 1,0 0-1,0 1 1,0-1-1,0 0 1,0 1 0,0-1-1,0 1 1,0 0-1,1 0 1,-1 0-1,1 0 1,0 0-1,-1 0 1,1 0-1,-1 3 1,1 7-6759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37.4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415 1 24575,'-2'0'0,"1"1"0,-1-1 0,1 1 0,-1 0 0,1 0 0,-1 0 0,1 0 0,-1 0 0,1 0 0,0 0 0,0 0 0,-1 0 0,1 1 0,0-1 0,0 1 0,0-1 0,1 0 0,-2 3 0,-18 35 0,15-30 0,-51 87 0,36-64 0,-32 66 0,24-21 0,18-47 0,-1-1 0,-20 38 0,21-47 0,2 1 0,1 0 0,0 0 0,1 0 0,-3 26 0,-12 45 0,7-43 0,-7 65 0,-7 23 0,19-87 0,1 0 0,3 1 0,2 0 0,6 91 0,0-30 0,-2-71 0,3 0 0,1-1 0,2 0 0,2 0 0,1 0 0,21 49 0,22 17 0,3 9 0,-44-89-32,2 1 0,0-2-1,2 0 1,0 0 0,28 29 0,107 103-588,-116-125 619,45 34 0,-65-56 1,0 0 0,1 0 0,0-2 0,1 0 0,0-1 0,20 6 0,-1-4 163,0-1 0,1-1 0,-1-2 0,71 0 0,-79-5-163,119-7 0,-127 5 0,0-2 0,-1 0 0,1-2 0,-1 0 0,24-11 0,-4-4 0,-1-3 0,-2 0 0,0-3 0,-1-1 0,-2-1 0,51-58 0,-71 71-62,-1 0 0,-1-1 0,0 0 0,15-37 0,-13 28-993,-4 8-5771</inkml:trace>
  <inkml:trace contextRef="#ctx0" brushRef="#br0" timeOffset="375.43">1515 1609 24575,'6'2'0,"0"1"0,0 0 0,-1 0 0,1 0 0,0 1 0,-1 0 0,0 0 0,0 0 0,0 0 0,0 1 0,-1 0 0,4 6 0,5 2 0,20 27 0,9 8 0,-24-32 0,-1 2 0,17 22 0,-22-25 0,0 0 0,2-1 0,-1-1 0,23 17 0,170 135 0,-97-79 0,-61-46 0,-35-30 0,-1 0 0,-1 1 0,0 0 0,0 1 0,-1 0 0,-1 1 0,9 14 0,-17-24 0,1 0 0,0 1 0,-1-1 0,0 0 0,1 0 0,-1 1 0,-1-1 0,1 1 0,0-1 0,-1 1 0,0-1 0,0 1 0,0 0 0,0-1 0,-1 1 0,1-1 0,-1 1 0,0-1 0,0 0 0,0 1 0,0-1 0,-1 0 0,1 1 0,-1-1 0,0 0 0,0 0 0,0-1 0,0 1 0,0 0 0,-1-1 0,1 1 0,-1-1 0,0 0 0,0 1 0,0-1 0,0-1 0,-4 3 0,-29 16-44,24-14-176,0 1 0,1-1-1,0 2 1,0 0 0,-14 13 0,13-7-6606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45.12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27 24575,'440'0'0,"-423"-1"-241,0-1 0,0-1 0,0 0 0,18-7 0,-33 9 81,20-5-6666</inkml:trace>
  <inkml:trace contextRef="#ctx0" brushRef="#br0" timeOffset="285.05">126 385 24575,'112'2'0,"122"-5"0,-78-26-1365,-129 26-5461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04.36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3 24575,'60'-1'0,"-14"0"0,-1 1 0,0 3 0,85 15 0,-89-11 0,0-1 0,0-2 0,51-3 0,56 6 0,286 30-1432,-267-24 635,200-12 1,-166-3 438,-89 1 211,493 21-1931,-295-8 2078,4 1 0,157 26-2293,14-28 2293,-3 1 0,508 9 0,-644-24 0,716 3-548,-819-20 1354,-158 10-641,13-4-165,95-5 0,-174 19 427,0-1 1,1-1-1,-1-1 0,0 0 1,0-2-1,-1 0 0,1-1 0,-1-1 1,30-16-1,-47 19 874,-9 2-796,-10 1 117,-30 8-224,-80 22 0,20-3-417,61-14 19,-64 24 0,66-20 0,-63 14 0,46-14-1365,35-10-5461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06.61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0 357 24575,'1'-15'0,"-1"1"0,2-1 0,0 0 0,1 1 0,0-1 0,1 1 0,1 0 0,0 0 0,0 1 0,2 0 0,0 0 0,0 0 0,1 1 0,1 0 0,10-13 0,-6 12 0,-1 0 0,2 1 0,0 0 0,0 1 0,1 1 0,1 0 0,-1 1 0,18-7 0,-18 12 0,0-1 0,0 2 0,0 0 0,1 1 0,-1 1 0,1 0 0,-1 1 0,1 0 0,-1 2 0,28 5 0,-17-1 0,-1 1 0,0 1 0,0 2 0,-1 0 0,37 22 0,-52-26 0,-1 0 0,0 0 0,0 1 0,-1 0 0,0 0 0,0 1 0,-1-1 0,0 2 0,0-1 0,-1 1 0,0 0 0,0 0 0,-1 0 0,0 1 0,-1-1 0,0 1 0,0 0 0,-1 0 0,0 0 0,-1 0 0,0 0 0,-1 1 0,0-1 0,-1 0 0,0 0 0,0 0 0,-1 0 0,0 0 0,-1 0 0,-6 16 0,6-20 0,0 0 0,0-1 0,-1 1 0,0-1 0,0 0 0,0-1 0,-1 1 0,1-1 0,-1 1 0,-9 5 0,-59 29 0,60-34 0,1 0 0,-1 2 0,2-1 0,-1 2 0,1-1 0,-14 13 0,5 0 0,14-15 0,0 1 0,0 0 0,0 0 0,1 1 0,0 0 0,-6 11 0,10-15 0,0 0 0,0-1 0,0 1 0,0 0 0,1 0 0,-1 0 0,1 0 0,0 1 0,0-1 0,0 0 0,0 0 0,1 0 0,-1 0 0,1 0 0,0 0 0,0 0 0,0-1 0,0 1 0,0 0 0,1 0 0,-1-1 0,4 5 0,1 1 0,0 0 0,1-1 0,0 1 0,0-1 0,1-1 0,0 0 0,0 0 0,0 0 0,1-1 0,10 4 0,19 9 0,44 12 0,-47-18 0,-4-4 0,0-2 0,0-1 0,0-2 0,1 0 0,0-3 0,49-4 0,6 1 0,18 4 0,102-3 0,-133-16-1365,-53 12-5461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18.53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1 218 24575,'5'0'0,"7"0"0,7 0 0,5 0 0,5 0 0,1 0 0,2 0 0,1 0 0,-1 0 0,-4-5 0,-4-2 0,1 0 0,1 2 0,-3 1-8191</inkml:trace>
  <inkml:trace contextRef="#ctx0" brushRef="#br0" timeOffset="454.42">343 0 24575,'15'1'0,"1"1"0,-1 0 0,24 7 0,28 5 0,-37-10 0,0 1 0,-1 2 0,1 1 0,54 23 0,-80-29 0,-1 0 0,0 0 0,1 0 0,-1 1 0,0-1 0,0 1 0,-1-1 0,1 1 0,-1 0 0,1 1 0,-1-1 0,0 0 0,0 0 0,0 1 0,-1-1 0,1 1 0,-1 0 0,0 0 0,0-1 0,0 1 0,0 0 0,-1 0 0,1 0 0,-1 0 0,0 0 0,0 0 0,-1-1 0,1 1 0,-1 0 0,0 0 0,0 0 0,0-1 0,-1 1 0,1 0 0,-1-1 0,0 1 0,0-1 0,0 0 0,0 1 0,0-1 0,-1 0 0,0-1 0,1 1 0,-1 0 0,-5 3 0,-26 24 0,1 1 0,-33 39 0,-5 7 0,45-42-1365,18-16-5461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20.24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1117 24575,'13'-1'0,"1"-1"0,-1 0 0,0-1 0,17-7 0,10-1 0,11-2 0,-26 7 0,1 0 0,0 1 0,35-1 0,-43 5 0,19 1 0,-1-2 0,0-1 0,37-9 0,-48 7-1365,-2 1-5461</inkml:trace>
  <inkml:trace contextRef="#ctx0" brushRef="#br0" timeOffset="462.59">623 735 24575,'1'5'0,"0"-1"0,0 1 0,0-1 0,0 1 0,1-1 0,0 0 0,0 0 0,0 0 0,0 0 0,1 0 0,-1 0 0,1 0 0,0-1 0,0 1 0,0-1 0,7 5 0,10 9 0,39 25 0,-28-22 0,-25-16 0,-1 0 0,0 1 0,0 0 0,0 0 0,0 0 0,-1 1 0,1-1 0,-1 1 0,-1 0 0,1 0 0,-1 1 0,0-1 0,3 10 0,-3-4 0,-1-1 0,0 1 0,-1-1 0,0 1 0,-1-1 0,0 1 0,-3 17 0,1-19 0,-1 0 0,-1-1 0,1 0 0,-1 0 0,-1 0 0,0 0 0,0 0 0,-1-1 0,1 0 0,-2 0 0,-10 10 0,8-9 0,1 2 0,-1-1 0,2 1 0,-1 1 0,-9 19 0,14-24-108,0 0 0,-1-1 0,0 1 0,0-1 0,-1 0 0,-6 7 0,7-9-501,-8 11-6217</inkml:trace>
  <inkml:trace contextRef="#ctx0" brushRef="#br0" timeOffset="1056.68">1558 1309 24575,'1'46'-4259,"1"-24"4990,-2 1 1,-4 29 0,4-51-679,1-1 0,-1 1 0,0-1 1,0 1-1,0 0 0,-1-1 0,1 1 1,0-1-1,0 1 0,0 0 1,0-1-1,0 1 0,-1-1 0,1 1 1,0-1-1,0 1 0,-1-1 1,1 1-1,0-1 0,-1 1 0,1-1 1,-1 0-1,1 1 0,0-1 0,-1 1 1,1-1-1,-2 1 0,-7-13 496,-7-29-552,15 38 30,-8-32-27,1-1 0,-5-53 0,-6-28 0,11 64 0,3 0 0,1 0 0,7-103 0,0 38 0,-3 100 0,1 0 0,1 1 0,0-1 0,1 1 0,1-1 0,1 1 0,0 0 0,1 1 0,1-1 0,0 1 0,1 0 0,1 1 0,0 0 0,1 1 0,14-16 0,-23 29-3,1-1 0,-1 0-1,1 1 1,-1-1-1,1 1 1,-1 0 0,1 0-1,0 0 1,0-1 0,0 2-1,0-1 1,0 0 0,0 0-1,0 1 1,0-1 0,0 1-1,0-1 1,0 1 0,0 0-1,0 0 1,0 0 0,0 0-1,3 1 1,-1 0 19,0 0 1,0 1 0,-1 0 0,1-1-1,0 2 1,-1-1 0,1 0-1,-1 1 1,0 0 0,0-1-1,4 5 1,6 8-388,-1 1-1,0 1 1,17 32 0,-19-30-6455</inkml:trace>
  <inkml:trace contextRef="#ctx0" brushRef="#br0" timeOffset="1539.67">2025 894 24575,'89'2'0,"103"-5"0,-184 2 0,0 0 0,0-1 0,0 0 0,0 0 0,0-1 0,-1 0 0,1 0 0,-1-1 0,0 0 0,0 0 0,0-1 0,-1 1 0,1-2 0,-1 1 0,0-1 0,5-7 0,-7 9 0,-1-1 0,0 1 0,0-1 0,0 0 0,-1 0 0,0 0 0,0-1 0,0 1 0,0-1 0,-1 1 0,0-1 0,0 1 0,0-1 0,-1 0 0,0 1 0,0-1 0,0 0 0,-1 1 0,0-1 0,0 0 0,0 1 0,-1-1 0,1 1 0,-4-7 0,2 8 0,0 0 0,0 0 0,0 0 0,-1 0 0,1 1 0,-1-1 0,0 1 0,0 0 0,0 0 0,0 1 0,-1-1 0,1 1 0,-1 0 0,1 0 0,-1 0 0,0 1 0,0 0 0,0 0 0,0 0 0,0 0 0,0 1 0,-6 0 0,-1-1 0,0 1 0,0 0 0,0 1 0,1 1 0,-1 0 0,0 0 0,1 1 0,-18 7 0,19-4 0,1 0 0,-1 0 0,1 1 0,1 1 0,-1-1 0,1 2 0,0-1 0,1 1 0,0 0 0,-7 12 0,3-2 0,0 0 0,1 0 0,2 1 0,-11 32 0,15-39 0,1-1 0,0 1 0,1 0 0,1 0 0,0 0 0,0 0 0,1 0 0,1 0 0,0 0 0,1 0 0,4 14 0,-4-21 0,0 0 0,0 0 0,0-1 0,1 1 0,0-1 0,1 1 0,-1-1 0,1 0 0,0 0 0,0-1 0,0 1 0,0-1 0,1 0 0,0 0 0,0 0 0,0-1 0,0 0 0,1 0 0,-1 0 0,1-1 0,0 0 0,0 0 0,-1 0 0,11 1 0,21 2-9,0-3 0,0-1 0,38-4-1,-8 1-1318,-40 2-5498</inkml:trace>
  <inkml:trace contextRef="#ctx0" brushRef="#br0" timeOffset="1947.02">2897 799 24575,'-1'92'0,"3"103"0,-2-193 0,0 0 0,0 1 0,0-1 0,1 0 0,-1 1 0,0-1 0,1 0 0,0 0 0,0 1 0,-1-1 0,1 0 0,0 0 0,1 0 0,-1 0 0,0 0 0,1 0 0,-1 0 0,1 0 0,-1-1 0,1 1 0,0-1 0,-1 1 0,1-1 0,0 0 0,0 1 0,0-1 0,0 0 0,1 0 0,-1-1 0,3 2 0,-2-2 0,0 0 0,0 0 0,0-1 0,0 1 0,0-1 0,-1 0 0,1 0 0,0 0 0,0 0 0,-1 0 0,1 0 0,-1-1 0,1 1 0,-1-1 0,0 0 0,1 0 0,-1 0 0,0 0 0,0 0 0,0 0 0,-1-1 0,1 1 0,2-6 0,41-86 0,-36 72 0,1 0 0,1 0 0,24-36 0,-20 37 0,-1-2 0,20-45 0,-23 44 0,1 1 0,27-41 0,-29 50-273,0-1 0,-1 0 0,0 0 0,10-26 0,-13 21-6553</inkml:trace>
  <inkml:trace contextRef="#ctx0" brushRef="#br0" timeOffset="2414.4">3459 894 24575,'36'0'0,"100"-4"0,-118 2 0,-1-1 0,1-1 0,-1-1 0,0 0 0,28-13 0,-37 14 0,-1-1 0,1 0 0,-1 0 0,0-1 0,0 0 0,-1 0 0,0-1 0,0 0 0,0 0 0,-1 0 0,0-1 0,7-13 0,-10 17 0,0 0 0,0-1 0,0 1 0,-1 0 0,1-1 0,-1 1 0,0-1 0,0 0 0,-1 1 0,0-1 0,0 0 0,0 1 0,0-1 0,0 0 0,-1 1 0,0-1 0,0 1 0,0-1 0,-1 1 0,1-1 0,-1 1 0,0 0 0,0 0 0,-1 0 0,1 0 0,-6-6 0,3 6 0,1 0 0,-1 1 0,-1-1 0,1 1 0,0 1 0,-1-1 0,1 1 0,-1 0 0,0 0 0,1 1 0,-1-1 0,0 1 0,0 1 0,-10-1 0,-9 0 0,0 2 0,-27 4 0,41-3 0,0 1 0,0 0 0,0 0 0,1 1 0,-1 1 0,1 0 0,-10 6 0,-68 51 0,54-38 0,26-18 0,1 1 0,-1 0 0,1 0 0,0 0 0,1 1 0,-1 0 0,1 0 0,1 1 0,0 0 0,0 0 0,1 0 0,0 0 0,0 1 0,1 0 0,-3 14 0,2-1 0,1 1 0,1 0 0,2 1 0,0-1 0,5 35 0,-4-52 0,1 0 0,-1-1 0,2 1 0,-1-1 0,1 1 0,0-1 0,0 0 0,0 0 0,1 0 0,0-1 0,0 1 0,1-1 0,-1 0 0,1 0 0,0 0 0,1-1 0,-1 0 0,1 0 0,-1 0 0,1-1 0,0 0 0,1 0 0,8 3 0,6 1 0,2 0 0,-1-1 0,1-1 0,0-1 0,38 2 0,-25-5-273,-1-2 0,0-1 0,1-2 0,40-10 0,-49 8-6553</inkml:trace>
  <inkml:trace contextRef="#ctx0" brushRef="#br0" timeOffset="2820.52">4237 927 24575,'-37'-1'0,"12"-1"0,-1 2 0,1 1 0,-48 8 0,68-8 0,1-1 0,-1 1 0,1 1 0,-1-1 0,1 1 0,0 0 0,0 0 0,0 0 0,0 0 0,0 1 0,1-1 0,-1 1 0,1 0 0,-1 0 0,1 1 0,0-1 0,0 1 0,0-1 0,1 1 0,-1 0 0,1 0 0,0 0 0,0 1 0,1-1 0,-1 0 0,1 1 0,0-1 0,-1 6 0,1-8 0,1 0 0,0 0 0,0 0 0,0 0 0,0 0 0,0 0 0,0 0 0,0 0 0,1 0 0,-1 0 0,1 0 0,-1 0 0,1 0 0,0 0 0,0 0 0,0 0 0,0 0 0,0-1 0,0 1 0,1 0 0,-1-1 0,3 3 0,-1-2 0,-1 0 0,2-1 0,-1 1 0,0-1 0,0 1 0,0-1 0,1 0 0,-1-1 0,0 1 0,1 0 0,-1-1 0,5 0 0,8 0 0,0-2 0,0 0 0,0 0 0,21-7 0,14-10 0,-44 15 0,0 0 0,0 1 0,1 0 0,-1 0 0,1 1 0,0 0 0,-1 0 0,1 1 0,0 0 0,0 0 0,0 1 0,0 0 0,15 3 0,-21-2 0,1 0 0,0 1 0,-1 0 0,1 0 0,-1 0 0,0 0 0,0 0 0,1 0 0,-1 1 0,-1-1 0,1 0 0,0 1 0,-1 0 0,1-1 0,-1 1 0,0 0 0,2 6 0,14 61 0,-11-38 0,-3-23 0,1 0 0,0 0 0,0 0 0,0-1 0,1 0 0,1 0 0,-1 0 0,1 0 0,1-1 0,-1 0 0,1-1 0,0 1 0,1-1 0,-1-1 0,11 7 0,-8-6 0,0-1 0,1 1 0,-1-2 0,1 1 0,0-2 0,0 1 0,0-2 0,1 1 0,-1-2 0,1 1 0,21-2 0,-27 0-124,0-1 0,0 0 0,0-1 0,0 1 0,-1-1 0,1 0-1,-1 0 1,1-1 0,-1 0 0,8-6 0,3-4-6702</inkml:trace>
  <inkml:trace contextRef="#ctx0" brushRef="#br0" timeOffset="3134.36">5141 1 24575,'0'61'0,"1"11"0,-3 0 0,-16 108 0,4-74 0,10-63 0,-10 44 0,9-63 0,2 1 0,-1 37 0,4-39 0,-2 1 0,0-1 0,-7 25 0,-29 136 0,33-159-1365,1-1-5461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24.94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1059 24575,'1'10'0,"0"1"0,0 0 0,2 0 0,-1-1 0,1 0 0,1 1 0,0-1 0,0 0 0,7 10 0,10 28 0,-20-47 0,-1 1 0,1 0 0,0 0 0,-1 0 0,1-1 0,0 1 0,0 0 0,0-1 0,0 1 0,1-1 0,-1 1 0,0-1 0,0 1 0,1-1 0,-1 0 0,1 0 0,0 0 0,-1 0 0,1 0 0,0 0 0,3 1 0,-3-2 0,0 0 0,0 0 0,0 0 0,0 0 0,0-1 0,0 1 0,-1-1 0,1 0 0,0 1 0,0-1 0,0 0 0,0 0 0,-1 0 0,1 0 0,0 0 0,-1 0 0,3-3 0,7-7 0,0-1 0,-1 0 0,-1 0 0,10-17 0,-14 22 0,0 0 0,23-38 0,3 2 0,48-53 0,-68 83 0,2 0 0,-1 1 0,2 0 0,-1 1 0,1 1 0,1 0 0,0 1 0,1 0 0,-1 2 0,22-8 0,-21 9 0,-9 4 0,0-1 0,-1 1 0,1 1 0,0-1 0,11 0 0,-17 2 0,1 0 0,0 0 0,0 0 0,0 1 0,0-1 0,-1 0 0,1 1 0,0 0 0,0-1 0,-1 1 0,1 0 0,0 0 0,-1 0 0,1 0 0,-1 0 0,1 0 0,-1 0 0,1 1 0,-1-1 0,0 1 0,0-1 0,0 1 0,0-1 0,0 1 0,2 2 0,10 26 0,-8-18 0,1 0 0,0 0 0,1-1 0,0 0 0,14 17 0,-19-25 0,2 0 0,-1 0 0,0-1 0,0 1 0,1-1 0,-1 0 0,1 0 0,0 0 0,0-1 0,0 1 0,0-1 0,0 0 0,0 0 0,0 0 0,0-1 0,0 0 0,0 1 0,0-1 0,0-1 0,1 1 0,-1 0 0,7-3 0,3-1 0,0-2 0,0 1 0,-1-2 0,1 0 0,17-13 0,3 0 0,-12 7 0,1 1 0,0 1 0,0 1 0,1 2 0,0 0 0,1 1 0,0 2 0,0 0 0,0 2 0,45-1 0,-45 4 0,-13-1 0,-1 1 0,0 0 0,1 1 0,-1 0 0,15 4 0,-23-4 0,0 0 0,-1 0 0,1 0 0,0 1 0,-1-1 0,1 1 0,-1-1 0,1 1 0,-1 0 0,0 0 0,0 0 0,0 0 0,0 1 0,0-1 0,0 0 0,0 1 0,-1-1 0,1 1 0,-1 0 0,0 0 0,0-1 0,0 1 0,0 0 0,0 0 0,0 3 0,16 162 0,-16-162 0,0-1 0,1 1 0,-1-1 0,1 0 0,0 0 0,0 0 0,1 0 0,-1 0 0,1-1 0,0 1 0,1-1 0,-1 1 0,1-1 0,-1 0 0,1-1 0,1 1 0,-1-1 0,5 4 0,0-3 0,-1 0 0,1 0 0,0-1 0,0-1 0,0 1 0,1-1 0,-1-1 0,0 0 0,18 0 0,35-1-1365,-35-1-5461</inkml:trace>
  <inkml:trace contextRef="#ctx0" brushRef="#br0" timeOffset="467.59">1993 966 24575,'-1'-2'0,"1"1"0,-1 0 0,0-1 0,1 1 0,-1 0 0,0-1 0,0 1 0,0 0 0,0 0 0,0 0 0,0 0 0,0 0 0,0 0 0,0 0 0,0 0 0,-1 0 0,1 1 0,0-1 0,0 0 0,-1 1 0,1-1 0,-1 1 0,1 0 0,-1-1 0,1 1 0,0 0 0,-3 0 0,-47-6 0,45 6 0,-6-1 0,0 0 0,-1 1 0,1 1 0,0 0 0,-19 4 0,26-3 0,0 0 0,0 0 0,0 0 0,0 0 0,0 1 0,1 0 0,-1 0 0,1 0 0,0 1 0,0-1 0,0 1 0,0 0 0,0 0 0,-4 8 0,-2 2 0,2 0 0,0 1 0,0-1 0,2 1 0,-1 1 0,-4 20 0,10-33 0,0 0 0,0 0 0,1 0 0,-1 0 0,1 1 0,-1-1 0,1 0 0,0 0 0,0 0 0,1 0 0,-1 0 0,1 0 0,-1 1 0,1-1 0,0 0 0,0 0 0,1-1 0,-1 1 0,0 0 0,1 0 0,0-1 0,-1 1 0,1 0 0,0-1 0,1 0 0,-1 1 0,0-1 0,1 0 0,-1 0 0,1-1 0,-1 1 0,1 0 0,0-1 0,0 0 0,0 1 0,0-1 0,0 0 0,0-1 0,6 2 0,6 0 0,1 0 0,0-1 0,-1-1 0,1-1 0,0 0 0,-1-1 0,1-1 0,-1 0 0,1-1 0,-1 0 0,-1-2 0,1 1 0,-1-2 0,0 0 0,0-1 0,23-17 0,-32 21 0,-1 0 0,2 1 0,-1-1 0,0 1 0,1 0 0,-1 0 0,1 1 0,0 0 0,0 0 0,7-2 0,-10 4 0,0 0 0,0 0 0,0 1 0,0-1 0,0 1 0,-1 0 0,1-1 0,0 1 0,0 0 0,-1 0 0,1 1 0,-1-1 0,1 1 0,-1-1 0,1 1 0,-1 0 0,0 0 0,0 0 0,0 0 0,0 0 0,0 0 0,0 1 0,-1-1 0,2 3 0,4 6 0,0-1 0,1 0 0,1-1 0,-1 0 0,1 0 0,1-1 0,0 0 0,0-1 0,0 0 0,1 0 0,0-1 0,1-1 0,-1 0 0,1 0 0,0-1 0,0 0 0,0-1 0,0-1 0,1 0 0,-1-1 0,17 0 0,159-3-1365,-161 1-5461</inkml:trace>
  <inkml:trace contextRef="#ctx0" brushRef="#br0" timeOffset="1028.65">3300 903 24575,'-2'4'0,"0"-1"0,1 0 0,-1 0 0,0 0 0,0 0 0,-1 0 0,1 0 0,-1-1 0,1 1 0,-1-1 0,0 1 0,0-1 0,0 0 0,0 0 0,-5 2 0,-4 4 0,-208 166 0,156-131 0,50-34 0,0 0 0,0 0 0,1 1 0,-12 13 0,9-8 0,0 0 0,0 0 0,-38 22 0,54-36 0,-1 0 0,0-1 0,0 1 0,0-1 0,1 0 0,-1 1 0,0-1 0,0 0 0,0 1 0,0-1 0,0 0 0,0 0 0,1 0 0,-1 0 0,0 0 0,0 0 0,0 0 0,0 0 0,0 0 0,0 0 0,0 0 0,0-1 0,1 1 0,-1 0 0,0-1 0,0 1 0,0-1 0,-1 0 0,1 0 0,0-1 0,0 0 0,-1 1 0,1-1 0,1 0 0,-1 1 0,0-1 0,0 0 0,1 0 0,-1 0 0,1 0 0,-1-3 0,0-3 0,0 0 0,1 0 0,0-1 0,0 1 0,3-14 0,-1 14 0,0 0 0,0 0 0,1 0 0,0 0 0,0 0 0,1 1 0,7-12 0,-9 17 0,-1 0 0,1 1 0,0-1 0,0 0 0,0 1 0,0-1 0,0 1 0,0 0 0,0-1 0,1 1 0,-1 0 0,0 0 0,1 1 0,-1-1 0,1 0 0,-1 1 0,1 0 0,-1-1 0,1 1 0,-1 0 0,1 0 0,-1 0 0,1 1 0,-1-1 0,1 1 0,-1-1 0,1 1 0,3 2 0,5 1 0,-2 1 0,1 1 0,-1 0 0,1 0 0,-2 1 0,1 0 0,-1 0 0,0 1 0,0 0 0,-1 1 0,7 9 0,43 44 0,-51-57-91,1 1 0,1-1 0,-1 0 0,1-1 0,0 0 0,0 0 0,0 0 0,0-1 0,1-1 0,-1 1 0,1-1 0,0-1 0,0 0 0,12 1 0,5-1-6735</inkml:trace>
  <inkml:trace contextRef="#ctx0" brushRef="#br0" timeOffset="2970.07">3829 1339 24575,'5'0'0,"8"0"0,6 0 0,5 0 0,5 0 0,1 0 0,2 0 0,1 0 0,-1 0 0,0 0 0,0 0 0,0 0 0,-6 0-8191</inkml:trace>
  <inkml:trace contextRef="#ctx0" brushRef="#br0" timeOffset="3502.47">4514 686 24575,'-1'14'0,"1"0"0,0 0 0,1 0 0,0 1 0,2-1 0,-1-1 0,2 1 0,0 0 0,0-1 0,1 0 0,8 15 0,60 123 0,-56-115 0,6 9 0,2-1 0,2-1 0,47 56 0,-61-83 0,1-1 0,1-1 0,0 0 0,1-1 0,0 0 0,1-2 0,0 0 0,1-1 0,32 14 0,-42-21 0,0-1 0,0 0 0,0 0 0,1 0 0,-1-1 0,0 0 0,1-1 0,-1 0 0,1 0 0,-1-1 0,12-2 0,-14 1 0,1 0 0,-1 0 0,0-1 0,0 0 0,0 0 0,0-1 0,0 0 0,-1 0 0,1 0 0,-1 0 0,0-1 0,-1 0 0,1 0 0,-1 0 0,7-12 0,128-225 0,-126 216 0,0 0 0,-2-1 0,10-38 0,-10 31 0,25-54 0,-16 43-37,-13 29-229,0 0 1,1 1-1,1 0 1,16-22-1,-12 23-6560</inkml:trace>
  <inkml:trace contextRef="#ctx0" brushRef="#br0" timeOffset="4017.4">6040 966 24575,'-12'1'0,"1"0"0,0 1 0,0 0 0,0 1 0,0 1 0,0-1 0,0 2 0,1 0 0,0 0 0,0 0 0,0 1 0,1 1 0,0 0 0,-12 11 0,10-8 0,0 2 0,0-1 0,1 1 0,0 1 0,1 0 0,1 0 0,0 1 0,1-1 0,0 2 0,-5 16 0,8-16 0,0 1 0,1 0 0,1 0 0,1 0 0,0 1 0,1-1 0,0 0 0,2 0 0,0 0 0,1 0 0,9 31 0,-10-43 0,0-1 0,1 1 0,-1-1 0,1 0 0,0 0 0,0 0 0,0 0 0,0 0 0,1-1 0,-1 1 0,1-1 0,0 0 0,-1 0 0,1 0 0,0-1 0,0 1 0,0-1 0,0 0 0,0 0 0,1-1 0,7 1 0,12 1 0,0-1 0,42-5 0,-27 1 0,-26 3 0,1 0 0,-1-2 0,0 1 0,0-2 0,0 0 0,0 0 0,0-1 0,-1-1 0,1 0 0,-1-1 0,18-11 0,-4 0 0,-1 0 0,-1-1 0,-1-1 0,0-2 0,-1 0 0,-2-1 0,28-38 0,-41 47 0,0 0 0,-1 0 0,0 0 0,-1-1 0,0 0 0,-2 0 0,1 0 0,1-17 0,-1-14 0,-1-59 0,-3 96 0,0 0 0,-1-1 0,0 1 0,-1-1 0,0 1 0,0 0 0,-1 0 0,1 0 0,-2 0 0,1 1 0,-1-1 0,-1 1 0,1 0 0,-1 0 0,0 0 0,-1 1 0,1-1 0,-1 1 0,-1 1 0,1-1 0,-12-6 0,5 4 0,-1 1 0,0 0 0,0 1 0,0 1 0,-1 0 0,0 1 0,0 1 0,0 0 0,-1 1 0,1 1 0,-16 0 0,1 1-1365,3 0-5461</inkml:trace>
  <inkml:trace contextRef="#ctx0" brushRef="#br0" timeOffset="4333.11">6942 1 24575,'1'6'0,"1"-1"0,0 1 0,0-1 0,0 0 0,0 1 0,1-1 0,0 0 0,5 7 0,7 13 0,-10-12 0,0 1 0,0-1 0,-2 1 0,0 0 0,0 1 0,0 23 0,-5 93 0,0-57 0,-1 34 0,6 157 0,12-181 0,-10-61 0,0 1 0,1 32 0,-5-34 0,2 0 0,8 31 0,4 38 0,-12-67-170,0-1-1,2 1 0,1-1 1,0 0-1,2 0 0,1-1 1,13 26-1,-10-29-6655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33.01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7657 312 24575,'0'1097'0,"2"-1050"0,12 64 0,2 36 0,-15-88 0,16 101 0,-11-109 0,-5-39 0,0 0 0,0 0 0,1-1 0,0 1 0,1-1 0,1 1 0,0-1 0,0 0 0,12 20 0,-16-30 0,1 0 0,-1 0 0,1 1 0,0-1 0,0 0 0,0 0 0,-1 0 0,1 0 0,0 0 0,0 0 0,1 0 0,-1-1 0,0 1 0,0 0 0,0 0 0,0-1 0,1 1 0,-1-1 0,0 1 0,1-1 0,-1 0 0,0 1 0,1-1 0,-1 0 0,0 0 0,1 0 0,-1 0 0,1 0 0,-1 0 0,0 0 0,1-1 0,-1 1 0,0 0 0,1-1 0,-1 1 0,0-1 0,0 1 0,1-1 0,-1 0 0,0 1 0,0-1 0,0 0 0,0 0 0,0 0 0,0 0 0,0 0 0,0 0 0,0 0 0,-1 0 0,1 0 0,1-3 0,5-7 0,0-1 0,-1 0 0,-1-1 0,6-15 0,-7 16 0,6-10 0,1 1 0,1 0 0,15-20 0,12-20 0,-17 22 0,2 2 0,1 1 0,2 0 0,2 2 0,1 1 0,45-38 0,-52 49 0,-20 18 0,0-1 0,1 1 0,-1 1 0,1-1 0,0 1 0,0-1 0,0 1 0,1 0 0,-1 1 0,1-1 0,-1 1 0,1 0 0,0 0 0,0 0 0,9-1 0,-13 3 0,1 0 0,-1 0 0,0 1 0,1-1 0,-1 1 0,0 0 0,1-1 0,-1 1 0,0 0 0,0 0 0,1-1 0,-1 1 0,0 0 0,0 0 0,0 0 0,0 0 0,0 1 0,0-1 0,-1 0 0,1 0 0,0 1 0,-1-1 0,1 0 0,0 1 0,-1-1 0,1 2 0,9 45 0,-7-24 0,5 11 0,-3 1 0,2 42 0,-3-28 0,-3-36-124,1 1 0,1-1 0,-1 0 0,2 0 0,0-1 0,1 1-1,0-1 1,1 0 0,1 0 0,8 13 0,-2-12-6702</inkml:trace>
  <inkml:trace contextRef="#ctx0" brushRef="#br0" timeOffset="269.41">8840 1898 24575,'0'221'0,"0"-722"-1365,0 474-5461</inkml:trace>
  <inkml:trace contextRef="#ctx0" brushRef="#br0" timeOffset="411.24">8778 1152 24575,'0'5'0,"0"8"0,0 6 0,0 5 0,0 4 0,0 3 0,5 1 0,2 0 0,5-4 0,0-3 0,-1 0 0,2-4 0,-1 0 0,3-5 0,-1 2 0,-3-3-8191</inkml:trace>
  <inkml:trace contextRef="#ctx0" brushRef="#br0" timeOffset="1051.61">9432 1743 24575,'-19'0'0,"-1"0"0,1 2 0,0 0 0,-27 6 0,38-5 0,-1 0 0,1 0 0,0 1 0,0 0 0,0 1 0,0 0 0,1 0 0,0 0 0,0 1 0,1 0 0,-10 11 0,118-139 0,-96 115 0,16-14 0,34-47 0,-52 63 0,0 0 0,-1 0 0,0 0 0,0 0 0,0-1 0,-1 1 0,0-1 0,0 0 0,0 1 0,0-1 0,-1 0 0,0 0 0,-1 0 0,1 0 0,-1 0 0,-1-9 0,1 14 0,0 1 0,0-1 0,0 1 0,0 0 0,0-1 0,0 1 0,0-1 0,-1 1 0,1 0 0,0-1 0,0 1 0,0 0 0,0-1 0,-1 1 0,1 0 0,0-1 0,0 1 0,-1 0 0,1 0 0,0-1 0,-1 1 0,1 0 0,0 0 0,-1-1 0,1 1 0,0 0 0,-1 0 0,1 0 0,0 0 0,-1 0 0,1 0 0,-1-1 0,1 1 0,0 0 0,-1 0 0,1 0 0,0 0 0,-1 0 0,1 0 0,-1 1 0,1-1 0,-1 0 0,-18 14 0,-13 25 0,27-30 0,1 0 0,-1 1 0,2-1 0,-1 1 0,1 0 0,1 1 0,0-1 0,0 0 0,1 12 0,3 101 0,0-61 0,-1-45 0,0 0 0,1 0 0,0 0 0,2-1 0,0 1 0,1-1 0,0 0 0,1 0 0,1 0 0,1-1 0,0 0 0,1 0 0,0-1 0,1 0 0,16 15 0,57 57 0,-52-56 0,54 66 0,-74-79 0,0 1 0,-1 0 0,10 24 0,-17-36 0,0 1 0,-1-1 0,0 1 0,0-1 0,-1 1 0,0-1 0,0 1 0,0 0 0,-1 0 0,0 0 0,0-1 0,-1 1 0,-2 11 0,2-16 0,0 0 0,-1 1 0,1-1 0,-1 0 0,1 1 0,-1-1 0,0 0 0,0 0 0,0-1 0,0 1 0,0 0 0,-1-1 0,1 1 0,0-1 0,-1 0 0,1 1 0,-1-1 0,-3 1 0,-57 11 0,32-8 0,3 1 0,0-2 0,-1-1 0,1 0 0,-1-3 0,-31-2 0,57 2 8,0-1-1,0 1 1,1 0-1,-1-1 1,0 0-1,1 1 1,-1-1-1,1 0 1,-1-1-1,1 1 1,-1 0-1,1-1 1,0 1-1,0-1 1,-3-2-1,4 3-53,1 0-1,-1 0 1,1 0-1,-1-1 1,1 1 0,-1 0-1,1 0 1,0-1-1,-1 1 1,1 0 0,0-1-1,0 1 1,0 0-1,0-1 1,0 1-1,0 0 1,1-1 0,-1 1-1,0 0 1,1 0-1,-1-1 1,1 1 0,-1 0-1,1 0 1,-1 0-1,1 0 1,0-1 0,0 1-1,-1 0 1,1 0-1,2-1 1,9-12-6780</inkml:trace>
  <inkml:trace contextRef="#ctx0" brushRef="#br0" timeOffset="1570.07">10272 561 24575,'0'1122'0,"1"-1112"0,-1-1 0,1 1 0,1 0 0,-1 0 0,6 15 0,-7-24 0,1 1 0,-1-1 0,0 0 0,1 0 0,-1 1 0,1-1 0,-1 0 0,1 0 0,0 0 0,-1 0 0,1 0 0,0 0 0,0 0 0,0 0 0,0 0 0,-1 0 0,1 0 0,1 0 0,-1-1 0,0 1 0,0 0 0,0-1 0,0 1 0,0-1 0,1 1 0,-1-1 0,0 0 0,0 1 0,1-1 0,-1 0 0,0 0 0,0 0 0,1 0 0,-1 0 0,0 0 0,1 0 0,-1-1 0,0 1 0,0 0 0,1-1 0,-1 1 0,0-1 0,0 1 0,0-1 0,0 1 0,0-1 0,1 0 0,-1 0 0,0 0 0,-1 1 0,1-1 0,2-2 0,6-7 0,-1 0 0,0 0 0,0 0 0,-1-1 0,0 0 0,-1-1 0,0 0 0,6-20 0,16-28 0,-16 39 0,1 1 0,0 0 0,2 1 0,1 0 0,22-22 0,-21 21 0,-12 13 0,0-1 0,1 1 0,0 1 0,13-12 0,-18 18 0,0-1 0,-1 1 0,1-1 0,0 1 0,0-1 0,0 1 0,0-1 0,0 1 0,0 0 0,0-1 0,0 1 0,0 0 0,0 0 0,0 0 0,0 0 0,0 0 0,0 0 0,0 0 0,0 0 0,0 0 0,0 1 0,0-1 0,0 0 0,-1 1 0,1-1 0,0 0 0,0 1 0,0-1 0,0 1 0,0 0 0,-1-1 0,1 1 0,0-1 0,0 1 0,-1 0 0,1 0 0,-1 0 0,1-1 0,0 1 0,-1 0 0,1 0 0,-1 0 0,0 0 0,1 0 0,-1 0 0,0 0 0,0 0 0,1 0 0,-1 0 0,0 1 0,4 18 0,0 0 0,-1 1 0,-1-1 0,0 1 0,-2-1 0,-5 41 0,2 2 0,1-9-74,0-31-185,1 0 1,1 0 0,1 0 0,8 43 0,-2-46-6568</inkml:trace>
  <inkml:trace contextRef="#ctx0" brushRef="#br0" timeOffset="2086.14">11269 1 24575,'5'1'0,"-1"1"0,0-1 0,0 1 0,0 0 0,0 0 0,0 1 0,0-1 0,-1 1 0,1 0 0,4 5 0,18 11 0,88 54 0,-47-29 0,49 38 0,-82-58 0,-2 2 0,41 40 0,-23-19 0,-8-8 0,-3 2 0,-1 1 0,-2 2 0,-2 2 0,41 70 0,-62-94 0,12 20 0,37 88 0,-34-64 0,-18-44 0,0 1 0,-2 0 0,8 32 0,-4 1 0,-3 0 0,3 94 0,-13 368 0,-1-499 0,-1 1 0,-1-1 0,-1 0 0,0 0 0,-1 0 0,-2-1 0,-14 28 0,-6 20 0,13-27 0,6-14 0,-1 1 0,-26 46 0,32-65 0,-1 0 0,0 0 0,-1 0 0,0-1 0,0 0 0,0 0 0,0 0 0,-1-1 0,0 0 0,0 0 0,-1-1 0,0 0 0,-12 5 0,-24 9-1365,25-11-5461</inkml:trace>
  <inkml:trace contextRef="#ctx0" brushRef="#br0" timeOffset="-4067.65">0 685 24575,'2'0'0,"-1"1"0,1-1 0,-1 1 0,0 0 0,1-1 0,-1 1 0,0 0 0,0 0 0,0 0 0,0 0 0,0 0 0,0 0 0,0 0 0,0 0 0,0 1 0,0-1 0,0 0 0,-1 1 0,1-1 0,-1 0 0,1 1 0,-1-1 0,1 0 0,-1 1 0,0-1 0,0 1 0,0 1 0,6 48 0,-6-45 0,4 452 0,-7-235 0,3-170 0,2 1 0,15 85 0,-8-70 0,-2 0 0,-4 0 0,-7 76 0,2-18 0,0-182 0,-1 18 0,3 0 0,1 0 0,8-58 0,-5 83 0,0 1 0,0 0 0,1 1 0,1-1 0,0 1 0,0 0 0,9-10 0,58-63 0,-69 79 0,12-11 0,1 1 0,1 2 0,36-22 0,-49 31 0,11-5 0,0 0 0,1 1 0,0 1 0,0 0 0,1 1 0,0 1 0,0 1 0,19-2 0,23 2 0,66 4 0,-42 1 0,-73-1 0,-1 0 0,1 1 0,-1 0 0,1 0 0,-1 1 0,0 1 0,0 0 0,0 0 0,0 1 0,-1 0 0,0 1 0,0-1 0,-1 2 0,1-1 0,-1 2 0,-1-1 0,10 11 0,-9-9 0,-1 0 0,0 0 0,-1 1 0,1 0 0,-2 0 0,0 1 0,0 0 0,-1-1 0,0 2 0,-1-1 0,0 0 0,-1 1 0,0-1 0,-1 1 0,0 18 0,-1-27 0,-1 1 0,0 0 0,0 0 0,0 0 0,-1-1 0,1 1 0,-1-1 0,0 1 0,0-1 0,0 1 0,0-1 0,0 0 0,-1 0 0,0 0 0,0 0 0,1-1 0,-2 1 0,1-1 0,0 0 0,0 0 0,-1 0 0,1 0 0,-7 2 0,-10 4 0,0-2 0,0 0 0,-30 4 0,2 0 0,-83 27 0,61-15-1365,50-17-5461</inkml:trace>
  <inkml:trace contextRef="#ctx0" brushRef="#br0" timeOffset="-3538.31">1338 1760 24575,'39'-2'0,"-1"-1"0,0-2 0,0-2 0,-1-1 0,0-3 0,47-18 0,-78 26 0,1 0 0,-1-1 0,0 0 0,-1-1 0,1 1 0,-1-1 0,1 0 0,-2 0 0,1-1 0,0 1 0,-1-1 0,0 0 0,-1 0 0,1 0 0,-1-1 0,0 1 0,-1-1 0,0 0 0,0 0 0,0 0 0,1-10 0,-3 13 0,1 0 0,-1 0 0,0 0 0,0 0 0,0 0 0,0 0 0,-1 0 0,1 0 0,-1 0 0,0 0 0,-1 0 0,1 0 0,-1 0 0,1 0 0,-1 1 0,0-1 0,-1 1 0,1-1 0,0 1 0,-1 0 0,0 0 0,0 0 0,0 0 0,0 0 0,0 1 0,-1-1 0,1 1 0,-1 0 0,0 0 0,1 1 0,-1-1 0,0 1 0,0-1 0,0 1 0,0 0 0,0 1 0,-7-1 0,-17-3 0,-1 3 0,1 0 0,-1 1 0,1 2 0,-46 9 0,63-7 0,0 0 0,0 1 0,0 1 0,1 0 0,0 0 0,0 1 0,1 1 0,-10 8 0,-29 21 0,31-25 0,0 0 0,0 2 0,2 0 0,-1 0 0,2 2 0,0 0 0,1 0 0,-13 23 0,21-28 0,1 0 0,0 0 0,1 0 0,0 0 0,0 1 0,2 0 0,-1-1 0,2 1 0,-1 0 0,2 0 0,-1-1 0,4 16 0,-3-20 0,0-1 0,1 0 0,-1 1 0,2-1 0,-1 0 0,0 0 0,1 0 0,0 0 0,1-1 0,-1 1 0,1-1 0,0 0 0,0 0 0,1 0 0,0-1 0,-1 1 0,2-1 0,-1 0 0,0-1 0,1 1 0,0-1 0,-1 0 0,9 3 0,5-1 0,0-1 0,1-1 0,0 0 0,-1-2 0,1 0 0,0-1 0,39-5 0,-28 0 0,-1-1 0,0-2 0,-1-1 0,42-17 0,-43 12 50,39-26-1,-44 25-537,0 1 0,42-18 0,-40 23-6338</inkml:trace>
  <inkml:trace contextRef="#ctx0" brushRef="#br0" timeOffset="-3054.43">2647 1331 24575,'-20'0'0,"-25"-1"0,-58 8 0,87-5 0,1 1 0,-1 1 0,1 0 0,0 1 0,0 1 0,0 0 0,-19 12 0,12-7 0,-44 17 0,-20 11 0,79-35 0,0 1 0,0 0 0,0 0 0,1 1 0,-1-1 0,2 1 0,-1 0 0,0 1 0,-4 8 0,5-8 0,1 0 0,0 1 0,0-1 0,1 1 0,0 0 0,1 0 0,0 0 0,0 1 0,0-1 0,1 0 0,0 12 0,1-16 0,1 1 0,-1-1 0,1 0 0,0 0 0,0 0 0,0 0 0,1-1 0,-1 1 0,1 0 0,0 0 0,0-1 0,1 1 0,-1-1 0,1 0 0,-1 0 0,1 0 0,0 0 0,0 0 0,0 0 0,1-1 0,-1 0 0,1 1 0,-1-1 0,1-1 0,6 3 0,8 4 0,123 45 0,-10-18 0,-74-22 0,0 3 0,102 44 0,-155-58 0,-1-1 0,0 2 0,1-1 0,-1 0 0,0 0 0,-1 1 0,1 0 0,0 0 0,-1-1 0,0 1 0,1 1 0,-1-1 0,0 0 0,-1 0 0,1 1 0,0-1 0,-1 1 0,2 6 0,-3-7 0,1-1 0,-1 1 0,0-1 0,0 1 0,0 0 0,0-1 0,-1 1 0,1-1 0,0 1 0,-1-1 0,0 1 0,0-1 0,0 1 0,0-1 0,0 0 0,0 1 0,-1-1 0,1 0 0,-1 0 0,1 0 0,-1 0 0,0 0 0,0 0 0,0-1 0,0 1 0,0-1 0,0 1 0,-3 0 0,-20 10 0,-1-2 0,0-1 0,0-1 0,-40 7 0,38-9 0,-5 2 0,18-3 0,0-2 0,0 0 0,-24 2 0,39-5 0,0 0 0,1 0 0,-1 0 0,0 0 0,1-1 0,-1 1 0,0 0 0,0 0 0,1 0 0,-1-1 0,0 1 0,0 0 0,1 0 0,-1-1 0,0 1 0,0 0 0,0-1 0,0 1 0,1 0 0,-1-1 0,0 1 0,0 0 0,0-1 0,0 1 0,0 0 0,0-1 0,0 1 0,0 0 0,0-1 0,0 1 0,0 0 0,0-1 0,0 1 0,0 0 0,0-1 0,0 1 0,0 0 0,-1-1 0,1 1 0,0 0 0,0 0 0,0-1 0,-1 1 0,1 0 0,0 0 0,0-1 0,0 1 0,-1 0 0,1 0 0,0-1 0,-1 1 0,1 0 0,0 0 0,0 0 0,-1 0 0,1-1 0,0 1 0,-1 0 0,1 0 0,0 0 0,-1 0 0,1 0 0,0 0 0,-1 0 0,1 0 0,-1 0 0,28-23 0,-21 19 0,9-13-1365,-3 0-5461</inkml:trace>
  <inkml:trace contextRef="#ctx0" brushRef="#br0" timeOffset="-2757.32">3456 623 24575,'0'23'0,"1"19"0,-2 0 0,-1-1 0,-15 71 0,-15 41 0,17-91 0,4 2 0,2-1 0,0 106 0,10-130 0,-1 0 0,-2-1 0,-14 73 0,8-65-43,3 1 0,1 0 1,3-1-1,4 49 0,0-24-1108</inkml:trace>
  <inkml:trace contextRef="#ctx0" brushRef="#br0" timeOffset="-2493.22">2989 1361 24575,'531'0'0,"-522"-1"0,0 1 0,1-2 0,-1 1 0,0-1 0,0-1 0,-1 1 0,1-2 0,-1 1 0,14-8 0,16-6 0,10 4-1365,-24 9-5461</inkml:trace>
  <inkml:trace contextRef="#ctx0" brushRef="#br0" timeOffset="-1946.18">4172 2068 24575,'152'3'0,"165"-7"0,-221-11 0,-63 9 0,56-4 0,-59 10-1365,-3-1-5461</inkml:trace>
  <inkml:trace contextRef="#ctx0" brushRef="#br0" timeOffset="-679.37">6600 2191 24575,'6'0'0,"1"-5"0,5-2 0,5 0 0,6 2 0,4 1 0,3 1 0,-4-3 0,-1-1 0,0 0 0,2 2 0,1 2 0,-4-5 0,0 0 0,0 1 0,-4-3 0,-5-1-8191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20.87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381 216 24575,'-6'0'0,"-1"0"0,1 0 0,-1 1 0,1 0 0,0 0 0,0 0 0,0 1 0,0 0 0,0 0 0,0 1 0,0 0 0,0 0 0,-5 4 0,4-2 0,1 1 0,0 0 0,0 1 0,1 0 0,0-1 0,0 2 0,0-1 0,1 1 0,-4 8 0,-34 61 0,27-52 0,1 0 0,2 2 0,-12 30 0,-2 40 0,15-51 0,-19 48 0,24-75 0,1 0 0,1 1 0,1 0 0,0 0 0,2 0 0,0 0 0,3 26 0,-1-23 0,-1 0 0,-1 0 0,0 0 0,-10 43 0,1-19 0,3 1 0,2 0 0,2 1 0,6 95 0,0-33 0,-5-42 0,0-41 0,1-1 0,1 0 0,2 1 0,6 37 0,-3-54-105,0 1 0,1-1 0,0 0 0,1-1 0,0 0 0,1 0 0,0 0 0,1-1 0,-1 0 0,2 0 0,-1-1 0,15 9 0,-9-6-6721</inkml:trace>
  <inkml:trace contextRef="#ctx0" brushRef="#br0" timeOffset="1171.18">941 153 24575,'-2'111'0,"5"122"0,11-158 0,1 7 0,1 19 0,-10-74 0,-1 0 0,1 34 0,-3-16 0,10 45 0,-7-48 0,3 61 0,-11-13 0,4 69 0,-2-156 0,0 0 0,1 0 0,-1 0 0,1 0 0,-1 0 0,1 0 0,0-1 0,0 1 0,1 0 0,-1-1 0,0 1 0,1 0 0,0-1 0,-1 0 0,1 1 0,0-1 0,0 0 0,1 0 0,-1 0 0,0 0 0,1 0 0,-1-1 0,1 1 0,-1-1 0,1 0 0,0 1 0,0-1 0,-1 0 0,1-1 0,0 1 0,0 0 0,0-1 0,0 0 0,0 1 0,0-1 0,0-1 0,0 1 0,0 0 0,3-1 0,10-2 0,-1 0 0,0 0 0,0-2 0,0 0 0,-1 0 0,16-9 0,111-44 0,-29 14 0,-84 34 0,-1 1 0,41-8 0,-45 12 0,4-1 0,47-3 0,-63 8 0,-1 0 0,1 2 0,-1-1 0,1 1 0,0 1 0,-1-1 0,15 6 0,-22-6 0,-1 0 0,0 0 0,1 0 0,-1 0 0,0 0 0,0 1 0,0-1 0,0 1 0,0-1 0,0 1 0,0 0 0,-1 0 0,1 0 0,-1 0 0,1 0 0,-1 0 0,0 0 0,1 0 0,-1 1 0,0-1 0,0 4 0,0-2 0,-1 0 0,0 0 0,0 0 0,0 0 0,0 0 0,-1 0 0,1 0 0,-1 0 0,0 0 0,-1 0 0,1 0 0,-3 4 0,-1 2 0,0 0 0,-1-1 0,0 0 0,-1-1 0,1 1 0,-2-1 0,1 0 0,-1-1 0,-12 9 0,6-9 0,-1-1 0,0 0 0,0-1 0,0 0 0,-31 4 0,21-4 0,2 0-170,0-1-1,0-1 0,-1-1 1,1-1-1,-1-1 0,1-1 1,-46-8-1,49 2-6655</inkml:trace>
  <inkml:trace contextRef="#ctx0" brushRef="#br0" timeOffset="2955.36">4428 1771 24575,'5'0'0,"7"0"0,2-5 0,4-2 0,3 0 0,5 2 0,2 1 0,-3-4 0,-1 0 0,1 1 0,1 1 0,-3-3 0,-1 0 0,2 2 0,1 1 0,-3 2-8191</inkml:trace>
  <inkml:trace contextRef="#ctx0" brushRef="#br0" timeOffset="3645.38">5393 1367 24575,'0'1091'0,"0"-1116"0,0-20 0,-1 1 0,-2 0 0,-12-63 0,-23-105 0,27 170 0,2-1 0,2 1 0,1-2 0,1-59 0,4 72 0,-2-1 0,-8-36 0,5 33 0,-3-48 0,9-262 0,1 162 0,-1 175 0,0 0 0,1 0 0,0 0 0,0 0 0,1 0 0,0 1 0,0-1 0,0 1 0,1-1 0,1 1 0,-1 0 0,1 0 0,0 0 0,1 1 0,0 0 0,0-1 0,0 2 0,0-1 0,1 1 0,0-1 0,0 1 0,1 1 0,-1 0 0,1 0 0,0 0 0,0 0 0,1 1 0,-1 0 0,1 1 0,-1 0 0,1 0 0,0 1 0,0-1 0,-1 2 0,11-1 0,2 0 0,11 0 0,1 0 0,48 7 0,-72-5 0,0 0 0,0 1 0,0 0 0,-1 0 0,1 1 0,-1 0 0,1 0 0,-1 1 0,0 0 0,-1 0 0,1 0 0,-1 1 0,1 0 0,-1 1 0,7 7 0,-5-2 0,-1-1 0,0 1 0,0 0 0,-1 0 0,-1 1 0,0 0 0,0 0 0,2 15 0,-5-21 0,-1 1 0,0 0 0,0 0 0,-1 0 0,0 0 0,0 0 0,-1 0 0,1 0 0,-2-1 0,1 1 0,-1 0 0,0-1 0,0 1 0,-1-1 0,0 1 0,-7 10 0,7-12 0,-1 0 0,0-1 0,0 0 0,-1 0 0,1 0 0,-1 0 0,0-1 0,0 1 0,0-1 0,0 0 0,-1-1 0,-8 4 0,-8 0 0,-45 9 0,12-3 0,-72 13 0,54-13 0,47-8-119,18-3 161,-1 0-1,0 1 1,0 0 0,1 1 0,-12 4 0,17-5-117,1-1 0,-1 1 1,1 0-1,-1 0 0,1 0 0,0 0 0,0 0 0,0 0 0,0 1 1,0-1-1,0 1 0,1-1 0,-1 1 0,1 0 0,0 0 0,-1 0 1,1-1-1,1 1 0,-2 5 0,-2 15-6751</inkml:trace>
  <inkml:trace contextRef="#ctx0" brushRef="#br0" timeOffset="4289.48">6140 1803 24575,'0'-1'0,"0"-1"0,1 1 0,-1 0 0,1 0 0,-1 0 0,1 0 0,-1 0 0,1 0 0,0 0 0,0 0 0,-1 0 0,1 0 0,0 0 0,0 0 0,0 1 0,0-1 0,0 0 0,0 1 0,0-1 0,0 1 0,0-1 0,0 1 0,0-1 0,1 1 0,0-1 0,40-9 0,-22 5 0,31-11 0,0 1 0,106-14 0,-80 16 0,-50 7 0,-1 2 0,32-2 0,97 7-1365,-128-1-5461</inkml:trace>
  <inkml:trace contextRef="#ctx0" brushRef="#br0" timeOffset="4745.33">7697 340 24575,'-2'5'0,"1"-1"0,-1 1 0,0-1 0,0 0 0,0 0 0,-1 0 0,0 0 0,1 0 0,-1 0 0,-1-1 0,1 1 0,0-1 0,-8 5 0,-13 18 0,-18 35 0,-56 73 0,82-112 0,0 0 0,2 1 0,-15 32 0,-24 38 0,37-67 0,1 1 0,-20 53 0,-8 15 0,29-69 0,2 1 0,1 0 0,1 1 0,2 0 0,1 1 0,-4 30 0,4 4 0,1 110 0,6-145 0,0-9 0,0 0 0,1 0 0,6 29 0,-6-43 0,0 0 0,1 0 0,0-1 0,-1 1 0,2 0 0,-1-1 0,0 1 0,1-1 0,0 0 0,0 0 0,0 0 0,1 0 0,-1 0 0,1-1 0,0 0 0,0 0 0,9 6 0,0-3 0,0 0 0,0-1 0,1 0 0,0-1 0,0-1 0,0 0 0,23 1 0,103-4 0,-71-2 0,-52 1 0,0-1 0,0 0 0,-1-1 0,1-1 0,-1-1 0,18-7 0,92-47 0,-101 45 0,0 0 0,-1-2 0,0 0 0,22-22 0,23-20-1365,-57 44-5461</inkml:trace>
  <inkml:trace contextRef="#ctx0" brushRef="#br0" timeOffset="5152.86">8226 1367 24575,'-18'0'0,"2"-1"0,0 1 0,-1 1 0,-29 6 0,41-6 0,-1 1 0,1 0 0,0 0 0,0 0 0,0 1 0,0 0 0,0 0 0,0 0 0,1 1 0,-1-1 0,1 1 0,0 0 0,0 0 0,-5 9 0,-9 14 0,1 0 0,1 1 0,1 1 0,-13 38 0,21-48 0,1 0 0,1 1 0,1 0 0,1 0 0,0 0 0,2 0 0,1 39 0,0-56 0,1 0 0,-1 0 0,1 0 0,-1 0 0,1 0 0,0 0 0,0 0 0,0-1 0,0 1 0,1 0 0,-1-1 0,1 1 0,0-1 0,0 1 0,0-1 0,0 0 0,0 0 0,0 0 0,0 0 0,1 0 0,3 2 0,0-1 0,-1-1 0,0-1 0,0 1 0,1-1 0,-1 1 0,1-2 0,0 1 0,-1-1 0,1 1 0,10-3 0,2 0 0,0-1 0,0-1 0,0-1 0,0 0 0,-1-2 0,19-9 0,-19 6 0,0-1 0,-1 0 0,-1-1 0,0-1 0,0-1 0,-1 0 0,17-23 0,-1-3 0,43-77 0,-65 98 0,0 0 0,-1-1 0,-2 0 0,0 0 0,-1 0 0,0-1 0,-2 1 0,-1-1 0,0 0 0,-2 0 0,-4-34 0,4 50 0,1 1 0,-1 0 0,1 0 0,-1 0 0,-1-1 0,1 1 0,0 0 0,-1 0 0,0 1 0,0-1 0,0 0 0,0 1 0,-1-1 0,0 1 0,1 0 0,-1-1 0,0 1 0,0 1 0,-1-1 0,1 0 0,-1 1 0,1 0 0,-1 0 0,0 0 0,0 0 0,0 0 0,0 1 0,0 0 0,0 0 0,0 0 0,0 0 0,-1 1 0,1-1 0,0 1 0,0 0 0,-1 0 0,1 1 0,0-1 0,0 1 0,0 0 0,0 0 0,-1 1 0,1-1 0,1 1 0,-1 0 0,0 0 0,0 0 0,1 0 0,-5 4 0,1 0-85,-1 0 0,1 0-1,1 1 1,-1 0 0,1 0-1,0 1 1,1-1 0,0 1-1,0 0 1,1 1 0,0-1-1,0 1 1,1 0 0,0 0-1,-3 16 1,3-2-6741</inkml:trace>
  <inkml:trace contextRef="#ctx0" brushRef="#br0" timeOffset="5687.12">8538 1304 24575,'1'1'0,"0"-1"0,1 0 0,-1 1 0,0-1 0,0 1 0,0 0 0,0-1 0,0 1 0,0 0 0,0 0 0,0 0 0,0 0 0,0-1 0,0 1 0,0 0 0,-1 1 0,1-1 0,0 0 0,-1 0 0,1 0 0,-1 0 0,1 0 0,-1 1 0,1-1 0,-1 0 0,0 0 0,0 3 0,7 43 0,-5-32 0,16 73 0,-16-80 0,1 0 0,0-1 0,0 1 0,0-1 0,1 1 0,0-1 0,0 0 0,9 11 0,-9-14 0,0-1 0,0 0 0,1 0 0,-1-1 0,1 1 0,-1-1 0,1 0 0,0 0 0,-1 0 0,1-1 0,0 1 0,0-1 0,1-1 0,-1 1 0,0-1 0,0 0 0,0 0 0,0 0 0,0-1 0,0 1 0,1-1 0,-1 0 0,-1-1 0,9-3 0,8-3 0,0-1 0,-1-1 0,0-2 0,20-13 0,5-8 0,-2-2 0,70-72 0,-112 105 0,0 1 0,1-1 0,-1 1 0,1 0 0,-1-1 0,1 1 0,0 0 0,-1 0 0,1 0 0,0 0 0,0 0 0,0 0 0,0 0 0,0 1 0,0-1 0,0 1 0,0 0 0,0-1 0,3 1 0,-3 0 0,0 1 0,0 0 0,-1-1 0,1 1 0,0 0 0,-1 0 0,1 0 0,-1 0 0,1 0 0,-1 0 0,0 1 0,1-1 0,-1 0 0,0 1 0,0-1 0,0 1 0,2 2 0,4 10 0,-1 0 0,-1 0 0,0 0 0,4 23 0,-1-7 0,-3-15 0,1-1 0,0 1 0,1-1 0,1-1 0,0 1 0,15 17 0,-22-28 0,1 0 0,1-1 0,-1 1 0,0-1 0,1 1 0,-1-1 0,1 0 0,0 0 0,-1 0 0,1-1 0,0 1 0,0-1 0,0 0 0,1 1 0,-1-1 0,0 0 0,0-1 0,1 1 0,-1-1 0,0 1 0,1-1 0,-1 0 0,0 0 0,1-1 0,-1 1 0,0-1 0,1 1 0,-1-1 0,0 0 0,0 0 0,0 0 0,0-1 0,0 1 0,0-1 0,0 0 0,3-2 0,1-2 0,0 0 0,0 0 0,-1-1 0,1 0 0,-2 0 0,1 0 0,-1-1 0,0 1 0,-1-1 0,6-13 0,1-8 0,12-54 0,1-2 0,-17 43 45,-6 36-186,-1 1 0,1-1 0,0 0 0,0 1 0,1-1 0,-1 1 0,1-1 0,1 1 0,3-7 0,1 6-6685</inkml:trace>
  <inkml:trace contextRef="#ctx0" brushRef="#br0" timeOffset="155984.61">2247 1285 24575,'22'-7'0,"-1"-2"0,31-16 0,-48 21 0,0 1 0,0-1 0,0 0 0,0 0 0,-1 0 0,1 0 0,-1-1 0,0 1 0,-1-1 0,1 0 0,-1 0 0,0 0 0,0 0 0,0 0 0,1-7 0,-3 10 0,1 0 0,-1-1 0,1 1 0,-1 0 0,0 0 0,0-1 0,0 1 0,0 0 0,0 0 0,-1-1 0,1 1 0,0 0 0,-1 0 0,0 0 0,0-1 0,1 1 0,-1 0 0,0 0 0,-1 0 0,1 0 0,0 1 0,0-1 0,-1 0 0,1 0 0,-1 1 0,0-1 0,1 1 0,-1 0 0,0-1 0,0 1 0,0 0 0,0 0 0,0 0 0,0 0 0,0 0 0,0 1 0,0-1 0,-3 0 0,-16-1 0,-1 0 0,0 1 0,0 2 0,-34 4 0,53-4 0,0 0 0,0 0 0,0 0 0,0 1 0,0 0 0,0-1 0,1 1 0,-1 0 0,0 0 0,1 0 0,0 1 0,-1-1 0,1 1 0,0-1 0,0 1 0,0 0 0,1-1 0,-1 1 0,1 0 0,0 0 0,-1 1 0,1-1 0,0 0 0,1 0 0,-1 0 0,1 1 0,-1 3 0,-2 15 0,0 1 0,2 39 0,1-53 0,0 10 0,0 0 0,1 0 0,2 0 0,7 34 0,-9-49 0,0 1 0,1-1 0,0 0 0,-1 0 0,1 0 0,1 0 0,-1 0 0,1 0 0,-1-1 0,1 1 0,0-1 0,0 0 0,0 0 0,1 0 0,-1 0 0,1-1 0,0 1 0,-1-1 0,1 0 0,0 0 0,0 0 0,1-1 0,-1 1 0,0-1 0,0 0 0,7 0 0,36 3 0,0-3 0,62-7 0,-92 3-1365,-4-2-5461</inkml:trace>
  <inkml:trace contextRef="#ctx0" brushRef="#br0" timeOffset="156687.57">2997 1057 24575,'-7'-4'0,"0"0"0,0 0 0,-1 1 0,1 0 0,-1 0 0,0 1 0,0 0 0,-15-1 0,-2-3 0,4 2 0,0 1 0,0 1 0,0 1 0,0 1 0,-30 3 0,48-3 0,0 1 0,0-1 0,0 1 0,1 0 0,-1 0 0,0 0 0,0 0 0,1 1 0,-1-1 0,1 1 0,-1 0 0,1-1 0,-1 1 0,1 0 0,0 1 0,0-1 0,0 0 0,0 0 0,1 1 0,-1-1 0,1 1 0,-1 0 0,1-1 0,0 1 0,0 0 0,0 0 0,0 0 0,0 0 0,1 0 0,-1 0 0,1 4 0,-1-2 0,1 1 0,0-1 0,0 1 0,1 0 0,-1-1 0,1 1 0,1-1 0,-1 0 0,1 1 0,-1-1 0,1 0 0,1 0 0,-1 0 0,1 0 0,0 0 0,4 5 0,8 4 0,1-1 0,0 0 0,0-1 0,2 0 0,-1-2 0,21 9 0,24 15 0,75 33 0,-110-51 0,-19-12 0,0 0 0,0 1 0,0 0 0,-1 1 0,1-1 0,8 11 0,-15-15 0,1 1 0,-1 0 0,0 0 0,0 0 0,0 0 0,0 0 0,0 0 0,-1 1 0,1-1 0,-1 0 0,1 0 0,-1 0 0,0 1 0,0-1 0,0 0 0,0 1 0,0-1 0,0 0 0,-1 0 0,1 0 0,-1 1 0,1-1 0,-1 0 0,0 0 0,0 0 0,0 0 0,0 0 0,0 0 0,0 0 0,-1 0 0,-2 2 0,-3 6 0,-2-1 0,1-1 0,-1 1 0,-1-1 0,1-1 0,-1 0 0,0 0 0,-1-1 0,0 0 0,0-1 0,0-1 0,-21 6 0,12-4 0,0-1 0,0-1 0,-1-2 0,0 0 0,0-1 0,-34-2 0,38-3-1365,4-1-5461</inkml:trace>
  <inkml:trace contextRef="#ctx0" brushRef="#br0" timeOffset="157188.77">3727 1 24575,'1'0'0,"1"1"0,-1 0 0,1 0 0,-1-1 0,0 1 0,1 0 0,-1 0 0,0 1 0,1-1 0,-1 0 0,0 0 0,0 0 0,0 1 0,0-1 0,0 1 0,-1-1 0,1 1 0,0-1 0,0 1 0,0 1 0,11 35 0,25 209 0,8-40 0,-41-168 0,-1 53 0,-3-54 0,8 59 0,-4-64 0,-1 68 0,-1-2 0,8-37 0,-6-44 0,-1 0 0,1 28 0,-5 555 0,1-598 0,0 0 0,0 0 0,0-1 0,0 1 0,0 0 0,-1-1 0,1 1 0,-1 0 0,0-1 0,1 1 0,-1 0 0,-3 3 0,4-6 0,0 0 0,0 0 0,0 1 0,-1-1 0,1 0 0,0 0 0,0 0 0,-1 0 0,1 0 0,0 0 0,0 0 0,-1 0 0,1 0 0,0 0 0,-1 0 0,1 0 0,0 0 0,0 0 0,-1 0 0,1 0 0,0 0 0,0 0 0,-1 0 0,1 0 0,0-1 0,0 1 0,0 0 0,-1 0 0,1 0 0,0 0 0,0-1 0,0 1 0,-1 0 0,1 0 0,0 0 0,0-1 0,0 1 0,0 0 0,-12-23 0,7 7-1365,1 1-5461</inkml:trace>
  <inkml:trace contextRef="#ctx0" brushRef="#br0" timeOffset="157564.9">3564 684 24575,'79'-18'0,"-8"14"0,-38 3 0,49-9 0,121-14 0,-149 17 0,-11 2 0,63-16 0,23-4 0,-92 20 0,-12 1-98,-12 3-113,0-1 0,-1 0 0,0-1-1,0 0 1,14-6 0,-13 2-6615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2:01.61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81 24575,'54'-2'0,"75"-12"0,40-7 0,-141 18 0,58 0 0,-62 4 0,1-2 0,-1-1 0,36-6 0,57-17-1365,-102 23-5461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2:08.01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6 383 24575,'2'1'0,"-1"0"0,1 0 0,-1 0 0,1 0 0,-1 0 0,0 0 0,1 1 0,-1-1 0,0 1 0,0-1 0,0 1 0,0-1 0,0 1 0,-1 0 0,1-1 0,0 1 0,-1 0 0,1 2 0,12 35 0,-7-12 0,4 11 0,2 1 0,15 36 0,-15-41 0,-2 1 0,-1 0 0,-1 1 0,3 42 0,11 35 0,-12-68 0,4 49 0,-5-22 0,-4-29 0,1 56 0,-5-62 0,0 38 0,-1-70 0,0-1 0,-1 1 0,1-1 0,-1 0 0,0 1 0,0-1 0,-1 0 0,1 0 0,-1 0 0,0 0 0,0 0 0,-5 6 0,7-9 0,-1 0 0,0 0 0,1-1 0,-1 1 0,0 0 0,0-1 0,0 1 0,0-1 0,1 1 0,-1-1 0,0 1 0,0-1 0,0 0 0,0 0 0,0 1 0,0-1 0,0 0 0,0 0 0,0 0 0,0 0 0,0 0 0,0 0 0,0 0 0,0 0 0,0-1 0,-2 0 0,0 0 0,0-1 0,0 1 0,0-1 0,0 0 0,0 0 0,1-1 0,-1 1 0,-3-5 0,-5-7 0,0-1 0,-13-24 0,20 32 0,-5-11 0,1 0 0,1-1 0,1 0 0,1 0 0,0-1 0,-2-22 0,-10-36 0,9 34 0,1-1 0,2 0 0,2 1 0,2-1 0,5-50 0,-2-10 0,-1 62 0,1 0 0,8-46 0,-6 69 0,0 0 0,1 0 0,1 0 0,1 1 0,1 0 0,15-26 0,-1 5 0,-6 12 0,0 0 0,2 1 0,40-47 0,-34 48 0,46-43 0,-54 58 0,0 0 0,1 0 0,0 2 0,0 0 0,1 1 0,0 1 0,0 1 0,1 0 0,-1 2 0,24-3 0,6-2 0,-26 4 0,-1 2 0,25-1 0,-38 3 0,0 2 0,-1-1 0,1 1 0,0 1 0,-1-1 0,1 1 0,-1 1 0,0-1 0,13 8 0,4 4 0,0 1 0,-1 1 0,-1 1 0,0 2 0,26 28 0,-37-35 0,-1 1 0,-1 0 0,0 0 0,-1 1 0,8 16 0,-13-24 0,0 0 0,-1 0 0,0 0 0,0 0 0,0 0 0,-1 1 0,0-1 0,0 0 0,0 1 0,-1-1 0,0 1 0,0-1 0,0 1 0,-1-1 0,-3 12 0,2-14 0,1-1 0,-1 1 0,-1-1 0,1 0 0,0 0 0,-1 0 0,0 0 0,1 0 0,-1 0 0,0-1 0,0 1 0,-1-1 0,1 0 0,0 0 0,-1 0 0,-4 1 0,-65 20 0,45-16 0,-28 7 0,-62 6 0,44-8 0,-164 16 0,228-27 0,-112 21 0,90-14-1365,18-4-5461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2:26.9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0 828 24575,'1'3'0,"-1"0"0,1 0 0,0 0 0,0 0 0,0 0 0,1 0 0,-1 0 0,4 4 0,7 20 0,30 157 0,-32-141 0,-2 0 0,4 70 0,-12-105 0,8 25 0,-4-30 0,-2-21 0,-17-140 0,15-264 0,3 400 0,0 1 0,1-1 0,1 0 0,1 1 0,1 0 0,10-21 0,3-10 0,-15 38 0,1 0 0,0 0 0,1 1 0,1 0 0,0 0 0,1 1 0,0 0 0,1 0 0,0 1 0,1 1 0,12-10 0,-22 19-72,1 0 1,0 0-1,-1 0 0,1 0 0,0 0 0,0 1 0,-1-1 0,1 1 1,0-1-1,0 1 0,0 0 0,0 0 0,0 0 0,0 0 0,-1 0 1,1 0-1,0 0 0,4 2 0,2 0-6754</inkml:trace>
  <inkml:trace contextRef="#ctx0" brushRef="#br0" timeOffset="748.95">509 814 24575,'45'2'0,"-31"-1"0,1 0 0,0-1 0,0-1 0,-1 0 0,1-1 0,0 0 0,-1-1 0,27-10 0,10-5 0,-42 16 0,0 0 0,0-1 0,-1 0 0,1-1 0,-1 0 0,0 0 0,0-1 0,0 0 0,9-9 0,-16 14 0,0-1 0,-1 1 0,1-1 0,-1 1 0,0-1 0,1 1 0,-1-1 0,1 0 0,-1 1 0,0-1 0,0 0 0,1 1 0,-1-1 0,0 0 0,0 0 0,0 1 0,0-1 0,0 0 0,0 0 0,0 1 0,0-1 0,0 0 0,0 1 0,0-1 0,0 0 0,0 0 0,-1 1 0,1-1 0,0 0 0,0 1 0,-1-1 0,1 0 0,-1 0 0,-26-17 0,17 14 0,-1 0 0,0 1 0,-20-3 0,20 5 0,-1 0 0,1 1 0,-1 0 0,1 1 0,-1 1 0,1-1 0,0 2 0,0-1 0,0 2 0,0 0 0,0 0 0,0 1 0,1 0 0,0 0 0,0 2 0,1-1 0,-1 1 0,1 0 0,1 1 0,-1 0 0,-7 10 0,2-2 0,0 1 0,1 1 0,1 0 0,0 1 0,-16 36 0,23-45 0,1 1 0,0 0 0,0 0 0,1 0 0,0 0 0,1 0 0,1 1 0,0-1 0,0 1 0,1 0 0,0-1 0,4 22 0,-2-27 0,1 1 0,0-1 0,0 1 0,0-1 0,1 0 0,-1 0 0,2-1 0,-1 1 0,0-1 0,1 0 0,0 0 0,1 0 0,-1-1 0,1 0 0,-1 0 0,1 0 0,0-1 0,1 0 0,-1 0 0,0 0 0,1-1 0,8 2 0,10 2 0,0-1 0,0-1 0,0-1 0,43-1 0,-32-2 0,-25 1 0,0 0 0,1-1 0,-1-1 0,0 0 0,1 0 0,-1-1 0,0-1 0,0 0 0,0 0 0,13-7 0,-7 1-120,-8 5 7,-1 0 0,0 0 0,1-1-1,-2-1 1,1 1 0,0-1 0,-1 0 0,0-1-1,-1 0 1,11-14 0,-13 14-6713</inkml:trace>
  <inkml:trace contextRef="#ctx0" brushRef="#br0" timeOffset="1355.87">1169 632 24575,'1'0'0,"0"1"0,0-1 0,-1 1 0,1-1 0,0 1 0,-1 0 0,1-1 0,-1 1 0,1-1 0,0 1 0,-1 0 0,0 0 0,1-1 0,-1 1 0,1 0 0,-1 0 0,0 0 0,1-1 0,-1 1 0,0 0 0,0 0 0,0 1 0,6 30 0,-3-15 0,14 46 0,-12-42 0,1 1 0,1 0 0,0-1 0,2-1 0,13 25 0,52 101 0,-31-58 0,-13-26 0,-16-29 0,27 41 0,-41-74 0,0 1 0,1 0 0,-1-1 0,0 1 0,1 0 0,-1-1 0,0 1 0,1-1 0,-1 1 0,1-1 0,-1 1 0,1-1 0,-1 1 0,1-1 0,0 1 0,-1-1 0,1 0 0,-1 1 0,1-1 0,0 0 0,-1 0 0,1 1 0,0-1 0,-1 0 0,1 0 0,0 0 0,-1 0 0,1 0 0,0 0 0,1 0 0,-1-1 0,0 0 0,0 0 0,0 0 0,0 0 0,0 0 0,0 0 0,0 0 0,0 0 0,-1 0 0,1 0 0,0-1 0,-1 1 0,1 0 0,0-3 0,14-57 0,-14 52 0,11-35 0,22-55 0,-9 30 0,-10 27 0,23-85 0,18-126 0,-41 207 0,-15 44 0,0 0 0,1 1 0,0-1 0,-1 0 0,1 1 0,0-1 0,0 0 0,0 1 0,0-1 0,0 1 0,0-1 0,0 1 0,0 0 0,1 0 0,-1-1 0,1 1 0,-1 0 0,1 0 0,-1 0 0,1 0 0,-1 1 0,4-2 0,0 5-1365</inkml:trace>
  <inkml:trace contextRef="#ctx0" brushRef="#br0" timeOffset="2136.16">1995 871 24575,'0'-1'0,"1"0"0,-1 0 0,1 0 0,0 0 0,-1 0 0,1 1 0,0-1 0,0 0 0,-1 0 0,1 1 0,0-1 0,0 1 0,0-1 0,0 1 0,0-1 0,0 1 0,0-1 0,-1 1 0,1 0 0,1 0 0,-1-1 0,0 1 0,0 0 0,0 0 0,0 0 0,2 0 0,34-1 0,-32 1 0,465 0 0,-464 0 0,0 0 0,0-1 0,0 0 0,0 0 0,-1 0 0,1-1 0,0 0 0,-1 0 0,1 0 0,-1-1 0,0 0 0,0 0 0,6-4 0,-9 5 0,0 1 0,-1-1 0,1 0 0,0 0 0,-1 1 0,1-1 0,-1-1 0,0 1 0,1 0 0,-1 0 0,0 0 0,0-1 0,-1 1 0,1 0 0,0-1 0,-1 1 0,1-1 0,-1 1 0,0-1 0,0 1 0,0-1 0,0 1 0,0-1 0,-1 1 0,1-1 0,-1 1 0,1 0 0,-1-1 0,0 1 0,0 0 0,0-1 0,-2-2 0,0 0 0,-1 0 0,1 1 0,-1-1 0,0 1 0,0 0 0,0 0 0,0 1 0,-1-1 0,1 1 0,-1 0 0,0 0 0,0 1 0,0-1 0,-1 1 0,1 0 0,0 1 0,-1-1 0,1 1 0,-8 0 0,-14-2 0,0 1 0,-49 4 0,27-1 0,41 0 0,0 0 0,0 0 0,0 0 0,0 1 0,0 1 0,0-1 0,0 1 0,0 0 0,-13 9 0,-62 48 0,54-37 0,-103 92 0,118-102 0,1 0 0,0 1 0,1 0 0,1 1 0,0 0 0,-10 19 0,15-22 0,1 0 0,0 0 0,1 0 0,0 0 0,1 1 0,0-1 0,1 1 0,1 0 0,-1 22 0,2-29 0,1 0 0,0-1 0,0 1 0,0 0 0,1-1 0,0 0 0,0 1 0,0-1 0,1 0 0,-1 0 0,1 0 0,0 0 0,1-1 0,-1 1 0,1-1 0,0 0 0,0 0 0,0 0 0,1 0 0,-1-1 0,1 0 0,0 0 0,-1 0 0,2-1 0,-1 1 0,0-1 0,0 0 0,1-1 0,-1 0 0,8 2 0,17 0 0,1 0 0,-1-3 0,36-2 0,5 0 0,-37-1 0,0-1 0,0-2 0,54-16 0,130-51-1365,-210 70-5461</inkml:trace>
  <inkml:trace contextRef="#ctx0" brushRef="#br0" timeOffset="2852.74">3246 871 24575,'-43'-1'0,"29"-1"0,0 1 0,0 1 0,1 0 0,-1 1 0,0 1 0,0 0 0,1 1 0,-1 0 0,1 1 0,0 0 0,-15 8 0,23-9 0,-14 9 0,-1 0 0,-29 26 0,43-32 0,0 1 0,1-1 0,-1 1 0,1 0 0,0 0 0,1 0 0,0 1 0,0 0 0,1 0 0,-5 14 0,5-11 0,0-5 0,1 0 0,1 1 0,-1-1 0,1 1 0,0-1 0,0 12 0,1-17 0,1 1 0,-1-1 0,0 0 0,1 1 0,-1-1 0,1 1 0,-1-1 0,1 0 0,0 1 0,0-1 0,0 0 0,-1 1 0,1-1 0,0 0 0,0 0 0,0 0 0,1 0 0,-1 0 0,0 0 0,0-1 0,1 1 0,-1 0 0,0 0 0,1-1 0,-1 1 0,0-1 0,1 1 0,-1-1 0,1 0 0,-1 0 0,1 0 0,-1 1 0,1-1 0,2-1 0,11 1 0,0 0 0,0-2 0,0 0 0,0 0 0,-1-2 0,1 1 0,-1-2 0,26-11 0,-36 14 0,153-54 0,-24 15 0,-132 41 0,0 0 0,0 0 0,0 0 0,0 0 0,1 0 0,-1 0 0,0 1 0,0-1 0,0 0 0,0 0 0,0 1 0,0-1 0,1 1 0,-1-1 0,0 1 0,0-1 0,0 1 0,-1 0 0,1 0 0,0-1 0,0 1 0,0 0 0,0 0 0,-1 0 0,1 0 0,0 0 0,-1 0 0,1 0 0,-1 0 0,1 0 0,-1 0 0,1 3 0,16 45 0,-13-36 0,4 10 0,1 0 0,14 27 0,-20-44 0,0 0 0,1 0 0,0-1 0,0 1 0,0-1 0,1 0 0,0 0 0,0 0 0,0 0 0,0-1 0,1 0 0,11 6 0,-15-9-59,1 0 0,-1-1-1,1 1 1,-1 0-1,1-1 1,-1 0 0,1 0-1,-1 0 1,1 0 0,-1 0-1,1 0 1,-1-1 0,1 1-1,-1-1 1,1 0-1,-1 1 1,0-1 0,1-1-1,-1 1 1,0 0 0,0 0-1,4-4 1,2 0-6767</inkml:trace>
  <inkml:trace contextRef="#ctx0" brushRef="#br0" timeOffset="3322.11">3934 0 24575,'-1'1'0,"-1"0"0,1 0 0,0 0 0,0 0 0,0 1 0,0-1 0,0 0 0,0 0 0,0 1 0,0-1 0,1 0 0,-1 1 0,0-1 0,1 1 0,-1-1 0,1 1 0,-1 2 0,-8 28 0,6-9 0,1-1 0,2 29 0,0-29 0,0 0 0,-6 34 0,-4 48 0,4-31 0,1-7 0,5 98 0,2-65 0,0-65 0,2 0 0,15 65 0,-1-1 0,-7-40-1365,-10-47-5461</inkml:trace>
  <inkml:trace contextRef="#ctx0" brushRef="#br0" timeOffset="3974.55">4360 954 24575,'67'2'0,"73"-4"0,-122-2 0,-1 0 0,-1-2 0,1 0 0,-1-1 0,0 0 0,22-15 0,-33 20 0,-1-1 0,0 0 0,0 0 0,0-1 0,0 1 0,0-1 0,-1 0 0,0 0 0,0-1 0,0 1 0,0 0 0,0-1 0,2-6 0,-5 9 0,1 0 0,0 0 0,-1 0 0,0 0 0,1 0 0,-1 0 0,0 0 0,0 0 0,0 0 0,0 0 0,0-1 0,-1 1 0,1 0 0,-1 0 0,1 0 0,-1 0 0,0 0 0,1 0 0,-1 0 0,0 1 0,0-1 0,-1 0 0,1 0 0,0 1 0,-1-1 0,1 0 0,0 1 0,-1 0 0,0-1 0,1 1 0,-1 0 0,0 0 0,0 0 0,-3-2 0,-5-1 0,0 0 0,0 1 0,0 0 0,-1 1 0,1 0 0,-1 1 0,0 0 0,1 0 0,-1 1 0,0 1 0,-18 3 0,8-1 0,1 2 0,-1 0 0,1 2 0,1 0 0,-22 11 0,23-9 0,-1 1 0,1 1 0,1 0 0,0 1 0,1 1 0,0 1 0,1 1 0,0 0 0,-17 23 0,28-31 0,0 1 0,1 0 0,0 0 0,0 0 0,1 0 0,-1 0 0,2 1 0,-1-1 0,0 17 0,2 4 0,4 44 0,-4-69 0,1 0 0,0 0 0,0 0 0,0 0 0,0-1 0,1 1 0,-1-1 0,1 1 0,0-1 0,0 1 0,0-1 0,0 0 0,1 0 0,-1 0 0,1 0 0,0-1 0,-1 1 0,1-1 0,1 1 0,-1-1 0,0 0 0,0 0 0,1-1 0,-1 1 0,1-1 0,0 0 0,-1 1 0,1-2 0,4 2 0,13 1 0,0-1 0,1 0 0,-1-2 0,25-2 0,-6 0 0,-18 3-227,-1-2-1,1-1 1,0-1-1,-1 0 1,22-8-1,-31 7-6598</inkml:trace>
  <inkml:trace contextRef="#ctx0" brushRef="#br0" timeOffset="4681.89">5681 155 24575,'-14'225'0,"14"-202"0,0 22 0,11 87 0,16-28 0,-12-55 0,10 25 0,-14-42 0,10 43 0,-18-63 0,-2-9 0,-1 0 0,1 0 0,0 1 0,-1-1 0,1 0 0,-1 1 0,0-1 0,0 0 0,-1 6 0,1-9 0,-1 0 0,1 1 0,0-1 0,0 1 0,-1-1 0,1 0 0,0 1 0,0-1 0,-1 0 0,1 1 0,0-1 0,-1 0 0,1 0 0,-1 1 0,1-1 0,0 0 0,-1 0 0,1 0 0,-1 0 0,1 1 0,-1-1 0,1 0 0,0 0 0,-1 0 0,1 0 0,-1 0 0,0 0 0,-24-8 0,-177-72 0,169 70 0,-1 1 0,-1 2 0,1 1 0,-1 2 0,-58 0 0,78 5 0,4-2 0,0 0 0,0 1 0,0 1 0,0 0 0,1 1 0,-1 0 0,0 0 0,1 1 0,-1 1 0,1 0 0,-17 9 0,19-7 0,1 0 0,-1 0 0,1 1 0,0 1 0,1-1 0,0 1 0,0 0 0,0 0 0,1 1 0,0 0 0,1 0 0,0 0 0,0 0 0,-2 11 0,2-8 0,1 1 0,0 0 0,1 0 0,0 1 0,1-1 0,0 0 0,1 0 0,1 1 0,0-1 0,4 17 0,-4-25 0,1-1 0,0 0 0,0 0 0,0 1 0,0-1 0,1-1 0,-1 1 0,1 0 0,0-1 0,0 1 0,0-1 0,1 0 0,-1 0 0,1 0 0,0-1 0,-1 1 0,1-1 0,0 0 0,1 0 0,4 2 0,11 2 0,-1 0 0,1-2 0,25 4 0,-23-5 0,7 1 0,1-2 0,-1 0 0,1-2 0,-1-2 0,1 0 0,-1-2 0,0-2 0,0 0 0,35-14 0,-2-7-1365,-53 23-5461</inkml:trace>
  <inkml:trace contextRef="#ctx0" brushRef="#br0" timeOffset="5697.19">7166 604 24575,'-152'-14'0,"135"14"0,-20 0 0,-45 6 0,68-4 0,1 1 0,-1 0 0,1 1 0,0 1 0,0 0 0,-21 12 0,-2 2 0,29-17 0,0 1 0,1 1 0,-1-1 0,0 1 0,1 1 0,0-1 0,0 1 0,0 0 0,1 0 0,-9 12 0,12-15 0,1 0 0,-1 0 0,1 0 0,-1 1 0,1-1 0,0 1 0,0-1 0,0 1 0,1-1 0,-1 1 0,0 0 0,1-1 0,0 1 0,-1 0 0,1-1 0,0 1 0,1 0 0,-1-1 0,0 1 0,1 0 0,-1-1 0,3 6 0,-1-3 0,1-1 0,1 1 0,-1 0 0,0-1 0,1 0 0,0 0 0,0 0 0,0 0 0,1-1 0,5 5 0,31 17 0,1-2 0,66 27 0,-67-32 0,146 58 0,-174-70 0,1-1 0,-1 1 0,0 0 0,0 1 0,13 9 0,-23-13 0,0-1 0,0 1 0,0 0 0,0 0 0,-1 0 0,1 0 0,-1 0 0,0 1 0,0-1 0,0 1 0,0-1 0,0 1 0,-1 0 0,0 0 0,0-1 0,0 1 0,0 0 0,0 0 0,-1 7 0,1-7 0,-1 0 0,0 0 0,0 0 0,0 0 0,-1 0 0,1 0 0,-1 0 0,0 0 0,0 0 0,-1 0 0,1 0 0,-1 0 0,1-1 0,-1 1 0,-5 6 0,3-7 0,1 0 0,-1 0 0,-1 0 0,1 0 0,0-1 0,-1 0 0,1 0 0,-1 0 0,1 0 0,-1-1 0,0 0 0,-8 1 0,-59 14 0,-77 11 0,98-15-1365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2:37.5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0 114 24575,'0'24'0,"2"0"0,0 0 0,1 0 0,1-1 0,2 1 0,0-1 0,1 0 0,1-1 0,2 0 0,13 24 0,12 13 0,47 58 0,-75-109 0,0 0 0,0-1 0,1-1 0,0 1 0,0-1 0,1 0 0,0-1 0,0 0 0,0-1 0,18 7 0,-22-10 0,0 0 0,0 0 0,0-1 0,0 1 0,1-1 0,-1 0 0,0-1 0,0 1 0,1-1 0,-1 0 0,0 0 0,0-1 0,5-2 0,-3 1 0,-1-2 0,0 1 0,0-1 0,0 0 0,-1 0 0,1 0 0,-1-1 0,6-8 0,7-12 0,0-1 0,-2-1 0,0-1 0,-2 0 0,-2 0 0,15-51 0,-21 53 0,4-54 0,-8 62 0,0 5 0,-1-1 0,0 0 0,-2 0 0,1 0 0,-2 0 0,-3-18 0,3 29 0,1-1 0,0 1 0,-1 0 0,0 0 0,0-1 0,0 1 0,0 1 0,-1-1 0,0 0 0,1 0 0,-1 1 0,-1 0 0,1 0 0,0 0 0,-1 0 0,0 0 0,1 0 0,-1 1 0,0 0 0,0 0 0,-1 0 0,1 0 0,0 1 0,-8-2 0,11 3-62,0 0 0,0 0 0,0-1 0,0 2 0,0-1 0,-1 0 0,1 0 0,0 0 0,0 0 0,0 1 0,0-1 0,0 1-1,0-1 1,0 1 0,0-1 0,0 1 0,0-1 0,0 1 0,0 0 0,0-1 0,-1 2 0,-3 4-6764</inkml:trace>
  <inkml:trace contextRef="#ctx0" brushRef="#br0" timeOffset="907.43">822 184 24575,'0'23'0,"0"0"0,2 1 0,1-1 0,0 0 0,11 34 0,-5-15 0,7 24 0,-15-63 0,1 1 0,-1-1 0,0 0 0,1-1 0,0 1 0,0 0 0,-1 0 0,2-1 0,-1 1 0,0-1 0,0 1 0,1-1 0,-1 0 0,1 0 0,0 0 0,4 2 0,-6-4 0,0 1 0,1-1 0,-1 1 0,1-1 0,-1 0 0,0 0 0,1 0 0,-1 0 0,1 0 0,-1 0 0,1 0 0,-1 0 0,0 0 0,1-1 0,-1 1 0,1-1 0,-1 1 0,0-1 0,1 1 0,-1-1 0,0 0 0,0 0 0,0 1 0,1-1 0,-1 0 0,0 0 0,0 0 0,0 0 0,0-1 0,-1 1 0,2-1 0,26-51 0,-10 18 0,63-77 0,55-99 0,-131 204 0,-1 0 0,1 0 0,0 0 0,10-9 0,-15 16 0,1-1 0,0 0 0,0 1 0,-1-1 0,1 0 0,0 1 0,0-1 0,0 1 0,0-1 0,0 1 0,0 0 0,0-1 0,0 1 0,0 0 0,0 0 0,0 0 0,0 0 0,0 0 0,1 0 0,-1 0 0,1 1 0,-1-1 0,0 1 0,0 0 0,0 0 0,0-1 0,-1 1 0,1 0 0,0 0 0,0 0 0,0 0 0,-1 0 0,1 0 0,0 0 0,-1 0 0,1 0 0,-1 0 0,0 0 0,1 1 0,-1-1 0,1 2 0,7 28 0,7 58 0,-13-67 0,1 1 0,1-2 0,1 1 0,1 0 0,18 40 0,-23-60 0,0 0 0,0 0 0,0 0 0,1 0 0,-1 0 0,1 0 0,-1 0 0,1 0 0,0-1 0,0 1 0,0-1 0,0 1 0,0-1 0,0 0 0,0 1 0,0-1 0,0 0 0,0-1 0,1 1 0,-1 0 0,0-1 0,4 1 0,-2-1 0,1 0 0,-1 0 0,0-1 0,1 0 0,-1 0 0,0 0 0,1 0 0,-1-1 0,0 0 0,0 0 0,5-2 0,9-8 0,0-1 0,-1 0 0,28-29 0,-42 39 0,30-30 0,96-88 0,-108 102 0,16-12 0,47-33 0,-81 62 0,-1 1 0,1-1 0,-1 0 0,1 1 0,0 0 0,0-1 0,0 1 0,-1 0 0,1 0 0,0 1 0,0-1 0,0 1 0,0-1 0,0 1 0,7 0 0,-9 1 0,1 0 0,0 0 0,0 0 0,0 1 0,-1-1 0,1 0 0,-1 1 0,1-1 0,-1 1 0,1-1 0,-1 1 0,0 0 0,0-1 0,0 1 0,0 0 0,0 0 0,0 0 0,-1 0 0,1 0 0,0 0 0,-1 0 0,0 0 0,1 0 0,-1 0 0,0 3 0,8 39 0,1 0 0,3-1 0,1 0 0,21 43 0,42 56-197,-54-104-971,-18-31-5658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1:47.85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24742 1 24575,'-18'-1'0,"1"1"0,-1 1 0,0 1 0,1 0 0,-1 2 0,1 0 0,0 0 0,0 2 0,1 0 0,-1 1 0,-26 16 0,-107 86 0,138-97 0,1 0 0,1 0 0,0 2 0,1-1 0,0 1 0,1 0 0,-7 18 0,-7 10 0,4-7 0,-19 52 0,-3 8 0,33-78 0,1 0 0,1 1 0,1-1 0,-4 25 0,0 2 0,1 1 0,2 1 0,2-1 0,6 82 0,0-25 0,-3 538 0,1-628 0,0 0 0,1-1 0,0 1 0,1-1 0,1 1 0,-1-1 0,7 11 0,-5-8 0,0-1 0,0 1 0,-1 0 0,2 16 0,20 98 0,-17-92 0,-2 1 0,5 53 0,-9-69 0,0-1 0,1 1 0,13 38 0,-11-39 0,0 0 0,-1 0 0,4 40 0,7 62 0,-6-57 0,18 121 0,-25-167 0,2 0 0,-1-1 0,11 25 0,-8-23 0,0 0 0,4 27 0,42 194 0,-29-130 0,-16-80 0,-1 1 0,-1 0 0,2 55 0,-8-38 0,1 0 0,12 68 0,-1-28 0,3 19 0,0-9 0,-12-68 0,11 47 0,-5-38 0,-1 0 0,-1 0 0,-3 1 0,0 59 0,-3-69 0,2-1 0,6 32 0,-4-30 0,3 53 0,-8-45 0,-1-6 0,2-1 0,1 1 0,10 50 0,-7-56 0,-1 0 0,1 35 0,-4-34 0,1 0 0,8 33 0,17 71 0,-20-89 0,-2-1 0,-2 1 0,-2 0 0,-5 44 0,1 13 0,3 700 0,-1-784 0,0 0 0,-2-1 0,-4 20 0,-6 38 0,-14 86 0,1 0 0,24-139 0,-2 0 0,0 0 0,-13 36 0,11-37 0,0 0 0,1 1 0,-4 38 0,8-47 0,1 1 0,-2 0 0,0-1 0,0 1 0,-1-1 0,0 0 0,-1 0 0,-1 0 0,-8 17 0,15-30 0,0 1 0,0-1 0,0 1 0,1 0 0,-1 0 0,0 0 0,0 1 0,1-1 0,-1 0 0,0 1 0,0 0 0,0-1 0,0 1 0,4 2 0,36 17 0,-28-10 0,-1 0 0,0 1 0,21 25 0,-29-30 0,-1 0 0,1 0 0,-1 0 0,-1 1 0,1 0 0,-1 0 0,0 0 0,0 0 0,-1 0 0,0 0 0,1 8 0,9 58 0,-6-45 0,3 57 0,-7-59 0,1 1 0,2-1 0,11 40 0,-8-40 0,-2 0 0,-1 0 0,3 45 0,-9 303 0,0-354 0,-2 1 0,-7 34 0,6-33 0,0 0 0,-1 24 0,4-7 0,1-9 0,-1 1 0,-2-1 0,-7 38 0,4-39 0,-2 51 0,-5 24 0,1-20 0,11-65 0,-1 1 0,-1-1 0,-1 0 0,-10 29 0,5-18 0,0 1 0,3-1 0,-7 58 0,9-51 0,-2 1 0,-11 39 0,11-55 0,1 1 0,-1 24 0,3-27 0,1-1 0,-2 1 0,-11 31 0,2-8 0,1 1 0,-11 83 0,-10 79 0,30-187 0,-1-1 0,-1 1 0,-10 22 0,8-22 0,1 0 0,-7 34 0,-43 215 0,9-133 0,19 21 0,22-121 0,-3 0 0,-18 51 0,-8 28 0,25-67 0,-45 171 0,-12 25 0,19-62 0,29-121 0,-21 124 0,-22 136 0,44-257 0,-6 34 0,-28 223 0,46-290 0,-15 45 0,12-46 0,-9 50 0,-32 188 0,25-184 0,18-66 0,2 1 0,-1 0 0,-3 32 0,-21 137 0,19-117 0,5-42 0,2 0 0,0 33 0,4-30 0,-1 1 0,-2 0 0,-8 44 0,6-47 0,-3 48 0,6-47 0,-10 47 0,7-48 0,2-1 0,0 1 0,3 44 0,1-43 0,-2-1 0,0 1 0,-7 32 0,2-26 0,2 0 0,0 49 0,1-1 0,-10 7 0,7-59 0,-2 58 0,9-25 0,0-28 0,-2 0 0,-1-1 0,-11 66 0,5-56 0,3 0 0,2 0 0,2 0 0,5 52 0,-2 10 0,-2 532 0,2-607 0,2-1 0,7 37 0,-2-17 0,-2-17 0,0-1 0,3 0 0,0-1 0,18 37 0,-12-27 0,-3 0 0,15 77 0,-25-105 0,10 30 0,1 0 0,39 83 0,-17-47 0,58 102 0,-86-168 0,0-1 0,1-1 0,16 20 0,16 24 0,-10-5 0,1-2 0,3-1 0,56 60 0,-85-102 0,21 16 0,-17-26 0,-5-18 0,-4-25-1365,-2 22-5461</inkml:trace>
  <inkml:trace contextRef="#ctx0" brushRef="#br0" timeOffset="1541.45">21849 6698 24575,'0'1015'0,"1"-998"0,1 0 0,1 0 0,4 18 0,6 40 0,-13-67 0,0-5 0,0 1 0,0-1 0,0 0 0,0 1 0,1-1 0,-1 0 0,1 0 0,0 0 0,0 1 0,0-1 0,1 0 0,-1 0 0,3 3 0,-4-6 0,0 0 0,0 1 0,0-1 0,1 0 0,-1 0 0,0 0 0,0 0 0,0 0 0,0 0 0,1 0 0,-1 0 0,0 0 0,0 0 0,0 0 0,0 0 0,1 0 0,-1 0 0,0 0 0,0 0 0,0 0 0,0 0 0,1 0 0,-1 0 0,0 0 0,0 0 0,0 0 0,0-1 0,0 1 0,1 0 0,-1 0 0,0 0 0,0 0 0,0 0 0,0 0 0,0 0 0,0-1 0,0 1 0,0 0 0,1 0 0,-1 0 0,0 0 0,0 0 0,0-1 0,0 1 0,0 0 0,0 0 0,0 0 0,0 0 0,0-1 0,5-15 0,-1-15 0,-4 8 0,-2 1 0,0 0 0,-8-34 0,5 28 0,-3-45 0,7-331 0,2 195 0,0 185 0,1-1 0,1 2 0,1-1 0,2 0 0,8-27 0,5 1 0,29-60 0,-43 103 0,0-1 0,0 1 0,1 0 0,0 0 0,0 0 0,1 1 0,9-7 0,28-30 0,-36 34 0,0 0 0,1 1 0,0 0 0,0 0 0,1 1 0,0 0 0,0 1 0,0 0 0,1 0 0,0 2 0,18-7 0,-20 8 0,1 0 0,0 1 0,-1 0 0,1 1 0,0 0 0,0 0 0,0 1 0,0 1 0,0-1 0,0 2 0,-1-1 0,1 1 0,0 1 0,12 4 0,-19-4 0,0-1 0,1 1 0,-1 0 0,0 0 0,0 0 0,0 0 0,-1 0 0,1 1 0,-1-1 0,1 1 0,-1 0 0,-1 0 0,1 0 0,0 0 0,-1 0 0,0 0 0,0 0 0,0 0 0,0 0 0,-1 1 0,1-1 0,-1 0 0,0 1 0,-1-1 0,0 8 0,0-4 0,0 1 0,0-1 0,-1 0 0,0 0 0,0 1 0,-1-1 0,0-1 0,0 1 0,-1 0 0,0-1 0,0 0 0,-7 9 0,-23 20 0,1 1 0,2 2 0,2 1 0,-47 86 0,59-96 0,12-21 0,0-1 0,1 1 0,0 0 0,0 1 0,0-1 0,2 0 0,-1 1 0,1 0 0,-2 15 0,3-8 0,1-1 0,0 1 0,1-1 0,0 0 0,2 1 0,4 16 0,-5-26 0,0 0 0,1-1 0,0 1 0,1 0 0,0-1 0,0 0 0,0 0 0,0 0 0,1-1 0,0 1 0,0-1 0,1 0 0,-1-1 0,1 1 0,12 6 0,61 43 0,-57-37 0,1-1 0,45 23 0,43 23 0,-55-27 0,-49-30 0,0 0 0,-1 0 0,0 1 0,0 0 0,0 1 0,-1-1 0,0 1 0,0 0 0,0 0 0,-1 1 0,0-1 0,3 12 0,0-2 0,-1 0 0,-1 0 0,-1 1 0,5 34 0,-7-28 0,0 1 0,-2 0 0,-1 0 0,-1 0 0,-1-1 0,-1 1 0,-1-1 0,-1 0 0,-2 0 0,-19 44 0,19-49 0,-2 0 0,-1 0 0,0-1 0,-1 0 0,-1-1 0,0-1 0,-1 0 0,-1-1 0,-31 25 0,44-39 0,1 0 0,-1 0 0,0 0 0,0 0 0,1 0 0,-1 0 0,0 0 0,0-1 0,0 1 0,0-1 0,0 0 0,-2 1 0,3-1 0,0 0 0,1 0 0,-1 0 0,0 0 0,1-1 0,-1 1 0,1 0 0,-1 0 0,0 0 0,1-1 0,-1 1 0,1 0 0,-1-1 0,0 1 0,1 0 0,-1-1 0,1 1 0,0-1 0,-1 1 0,1-1 0,-1 1 0,1-1 0,-1 1 0,1-2 0,-1 1 0,1-1 0,0 1 0,0-1 0,0 1 0,0-1 0,0 0 0,0 1 0,1-1 0,-1 1 0,0-1 0,1 1 0,-1-1 0,1 1 0,0-1 0,-1 1 0,1 0 0,0-1 0,0 1 0,0 0 0,0-1 0,0 1 0,0 0 0,0 0 0,0 0 0,1 0 0,-1 0 0,0 0 0,1 1 0,1-2 0,83-53-1365,-72 46-5461</inkml:trace>
  <inkml:trace contextRef="#ctx0" brushRef="#br0" timeOffset="2009.05">23323 7818 24575,'1'1'0,"0"-1"0,0 1 0,0-1 0,0 1 0,0-1 0,0 1 0,0 0 0,0 0 0,0-1 0,0 1 0,0 0 0,0 0 0,0 0 0,-1 0 0,1 0 0,0 0 0,-1 0 0,1 0 0,0 1 0,-1-1 0,0 0 0,1 0 0,-1 0 0,0 1 0,1-1 0,-1 0 0,0 2 0,5 41 0,-5-39 0,0 341 0,-10-392 0,0 7 0,2-72 0,6 66 0,-10-59 0,7 66 0,2 0 0,2-73 0,-1-21 0,-11 60 0,9 52 0,0 0 0,-1-28 0,5 25 0,-2 0 0,0-1 0,-1 1 0,-2 0 0,-13-42 0,18 64-23,-1 0 0,1 0 0,0 0 0,-1 1 0,1-1-1,-1 0 1,1 1 0,-1-1 0,1 0 0,-1 1 0,1-1 0,-1 1-1,1-1 1,-1 1 0,0-1 0,1 1 0,-1-1 0,0 1 0,0-1-1,1 1 1,-1 0 0,0 0 0,0-1 0,1 1 0,-1 0 0,0 0-1,0 0 1,0 0 0,0 0 0,1 0 0,-1 0 0,0 0 0,0 0-1,0 0 1,1 1 0,-1-1 0,0 0 0,0 0 0,1 1 0,-1-1 0,0 1-1,0-1 1,1 1 0,-1-1 0,1 1 0,-1-1 0,0 1 0,1-1-1,-1 1 1,1 0 0,-1-1 0,1 1 0,-1 0 0,1-1 0,0 1-1,-1 0 1,1 0 0,0 1 0,-7 12-6803</inkml:trace>
  <inkml:trace contextRef="#ctx0" brushRef="#br0" timeOffset="2727.48">23954 6270 24575,'-2'84'0,"-17"128"0,12-134 0,3 0 0,6 86 0,1-31 0,-1-29 0,-5 112 0,3-215 0,0 1 0,0-1 0,0 0 0,0 1 0,0-1 0,0 1 0,-1-1 0,1 1 0,0-1 0,-1 0 0,1 1 0,-1-1 0,0 0 0,1 0 0,-1 1 0,0-1 0,0 0 0,0 0 0,0 0 0,0 0 0,0 0 0,0 0 0,0 0 0,0 0 0,0-1 0,-1 1 0,1 0 0,0-1 0,-1 1 0,1-1 0,0 1 0,-1-1 0,1 1 0,0-1 0,-1 0 0,1 0 0,-1 0 0,1 0 0,0 0 0,-1 0 0,1 0 0,-3-1 0,-7-2 0,1 0 0,0-1 0,0 0 0,-17-10 0,9 5 0,5 3 0,0 1 0,-1 1 0,0 0 0,0 0 0,0 2 0,0-1 0,0 2 0,-1 0 0,1 1 0,0 0 0,-1 1 0,1 1 0,0 0 0,0 1 0,-27 10 0,35-10 0,0 1 0,0 0 0,1 0 0,-1 0 0,1 1 0,0-1 0,0 2 0,1-1 0,-1 0 0,1 1 0,0 0 0,1 0 0,-1 0 0,1 0 0,0 1 0,-2 7 0,-5 16 0,1-1 0,-5 38 0,13-65 0,-5 41 0,3-1 0,0 1 0,5 51 0,0-20 0,-2-67 0,0-1 0,1 1 0,0 0 0,0 0 0,1 0 0,0-1 0,0 1 0,1 0 0,-1-1 0,1 0 0,1 0 0,-1 0 0,1 0 0,0 0 0,0-1 0,1 0 0,0 0 0,-1 0 0,2 0 0,-1-1 0,0 0 0,1 0 0,0 0 0,0-1 0,0 0 0,0 0 0,1 0 0,-1-1 0,1 0 0,-1-1 0,1 1 0,0-1 0,0 0 0,0-1 0,-1 0 0,1 0 0,0 0 0,0-1 0,0 0 0,-1 0 0,14-5 0,0-3 0,-1 0 0,0-1 0,-1-1 0,0-1 0,0 0 0,19-20 0,16-9 0,-17 12-273,-1-1 0,-1-1 0,-2-2 0,31-41 0,-53 60-6553</inkml:trace>
  <inkml:trace contextRef="#ctx0" brushRef="#br0" timeOffset="8323.78">24795 18731 24575,'-14'1'0,"1"0"0,0 1 0,0 0 0,0 1 0,0 1 0,0 0 0,1 0 0,-1 2 0,1-1 0,0 2 0,1-1 0,0 2 0,0-1 0,0 2 0,1-1 0,-13 15 0,-9 6 0,-18 20 0,18-11 0,17-22 0,1 2 0,0-1 0,2 2 0,-14 25 0,-50 119 0,62-132 0,2 0 0,2 1 0,-8 34 0,9-29 0,-26 66 0,29-86 0,1-1 0,1 1 0,0-1 0,-2 31 0,-4 18 0,-16 96 0,22-135 0,0 1 0,2 50 0,2-50 0,-1 0 0,-8 46 0,-1-4 0,3 0 0,2 1 0,8 105 0,0-41 0,-3-100 0,-1-1 0,-1 1 0,-11 53 0,-14 98 0,21-151 0,2-1 0,-1 38 0,3-32 0,-7 41 0,1-12 0,3 1 0,6 123 0,1-67 0,-2 408 0,2-500 0,1-1 0,9 38 0,-3-19 0,3 10 0,-7-35 0,0 1 0,1 46 0,-8 30 0,4 88 0,10-119 0,-7-52 0,-2 0 0,2 28 0,-6 73 0,2 51 0,12-99 0,-8-53 0,-1 0 0,1 32 0,-4-32 0,0 31 0,12 88 0,15 47 0,-20-121 0,-3 1 0,-2-1 0,-7 66 0,1-4 0,1-6 0,5 131 0,9-163 0,-6-55 0,2 57 0,-8 10 0,-1-8 0,17 148 0,16 18 0,-25-174 0,-6 156 0,-4-103 0,3-86 0,-2-1 0,-12 76 0,-40 176 0,44-251 0,7-29 0,-2-1 0,-12 36 0,-2-2 0,-16 89 0,19-75 0,7-37 0,-23 63 0,13-44 0,-13 54 0,20-58 0,-34 80 0,34-96 0,1 1 0,-12 67 0,9-34 0,0 31 0,2-7 0,8-71 0,0-1 0,2 1 0,0 0 0,1 32 0,1-46 0,1-1 0,-1 0 0,0 1 0,1-1 0,0 0 0,0 0 0,0 0 0,1 1 0,-1-1 0,1 0 0,0-1 0,0 1 0,0 0 0,1-1 0,-1 1 0,1-1 0,0 1 0,0-1 0,0 0 0,0-1 0,1 1 0,-1 0 0,1-1 0,-1 0 0,1 0 0,5 2 0,10 2 0,0 1 0,-1 1 0,0 1 0,0 0 0,-1 1 0,-1 1 0,1 1 0,-2 0 0,1 1 0,-2 0 0,0 2 0,0 0 0,-2 0 0,0 1 0,0 1 0,-2 0 0,0 0 0,-1 1 0,0 0 0,8 30 0,15 41 0,-22-65 0,-1 2 0,-1-1 0,-1 1 0,7 45 0,-1 28 0,-6-60 0,2 65 0,-10-73 0,2 0 0,2 0 0,8 46 0,-4-30 0,-1-1 0,-3 1 0,-2-1 0,-5 51 0,1 10 0,3 490 0,-1-560 0,-11 57 0,-1 26 0,11 750 0,5-422 0,-3 2129 0,1-2555 0,1 0 0,7 33 0,4 30 0,1 28 0,-8-75 0,2 60 0,-8-25 0,-2-33 0,2 0 0,2-1 0,13 73 0,-10-83 0,3 49 0,-6-49 0,10 48 0,-2-32 0,24 89 0,-23-98 0,6 45 0,-10-43 0,19 61 0,-23-89 0,1 0 0,0 0 0,1-1 0,0 0 0,1 0 0,-1 0 0,2 0 0,-1-1 0,1 0 0,14 12 0,-15-16 0,0 0 0,0 0 0,0-1 0,0 1 0,0-1 0,1-1 0,-1 1 0,1-1 0,0-1 0,0 1 0,0-1 0,0 0 0,0 0 0,10-1 0,-12-1 0,0 1 0,0-1 0,1 0 0,-1 0 0,0-1 0,0 1 0,0-1 0,-1 0 0,1-1 0,0 1 0,-1-1 0,1 0 0,-1 0 0,0 0 0,0-1 0,0 1 0,-1-1 0,1 0 0,4-7 0,2-6-1365,-3 1-5461</inkml:trace>
  <inkml:trace contextRef="#ctx0" brushRef="#br0" timeOffset="9435.46">20587 27349 24575,'-10'11'0,"0"1"0,1 0 0,0 1 0,1 0 0,0 0 0,-6 16 0,-33 89 0,41-99 0,-69 222 0,68-223 0,-10 25 0,2 1 0,-13 63 0,-15 55 0,19-83 0,-6 66 0,-20 41 0,43-154 0,6-26 0,0 0 0,0 0 0,0 0 0,-1 0 0,0-1 0,0 1 0,0 0 0,-1-1 0,-3 7 0,2-13 0,4-10 0,5-14 0,18-29 0,46-128 0,17-77 0,5-98-1000,-24 105 1000,8-17-353,-49 184 292,57-184 61,-55 171 378,-11 42 140,14-82 0,-6 15-518,-29 182 0,6 71 0,0-33 0,-5 134 0,7 244 0,9-337-385,1 38-182,-1-35 466,-7-95 47,1 55 0,-7-76 299,1 0-1,1 1 1,9 41-1,-7-45-214,-2-1-1,1 34 0,3 34 38,-5-82-64,0 0 0,1 0-1,0 0 1,0 0 0,1 0 0,0-1 0,0 1 0,0-1-1,6 8 1,-11-27-3,0-1 0,-1 1 0,-6-17 0,-2 12 0,-2 0 0,0 1 0,0 0 0,-2 1 0,-32-28 0,3 2 0,-32-13-1365,64 44-5461</inkml:trace>
  <inkml:trace contextRef="#ctx0" brushRef="#br0" timeOffset="9652.8">20298 28043 24575,'4'0'0,"6"0"0,6 0 0,5 0 0,3 0 0,2 0 0,1 0 0,0 0 0,1 0 0,-1 0 0,0 0 0,0 0 0,-1 0 0,1 0 0,-1 0 0,-4 0-8191</inkml:trace>
  <inkml:trace contextRef="#ctx0" brushRef="#br0" timeOffset="10324.46">21718 27776 24575,'-29'-1'0,"9"1"0,-1 0 0,1 1 0,-1 1 0,-24 5 0,38-5 0,1 0 0,-1 1 0,1 0 0,0 0 0,0 0 0,0 0 0,0 1 0,0 0 0,1 1 0,0-1 0,0 1 0,0 0 0,0 0 0,1 0 0,0 1 0,-6 10 0,5-7 0,0 0 0,1 0 0,0 0 0,1 0 0,-1 1 0,2 0 0,0-1 0,0 1 0,1 0 0,-1 17 0,2-22 0,1 0 0,-1 1 0,1-1 0,0 1 0,1-1 0,-1 0 0,1 0 0,0 0 0,0 0 0,1 0 0,-1 0 0,1-1 0,0 1 0,1-1 0,-1 1 0,1-1 0,-1-1 0,1 1 0,1 0 0,7 5 0,12 4 0,0 0 0,1-2 0,0-1 0,1 0 0,36 7 0,5 2 0,-57-16 0,-1 1 0,1 0 0,-1 0 0,0 1 0,-1 0 0,1 0 0,-1 1 0,0 0 0,0 1 0,-1 0 0,13 14 0,-18-18 0,0 1 0,0-1 0,0 1 0,0 0 0,0-1 0,-1 1 0,1 0 0,-1 0 0,0 0 0,0 0 0,-1 0 0,1 0 0,-1 0 0,0 0 0,0 0 0,0 0 0,-1 1 0,1-1 0,-1 0 0,0 0 0,0 0 0,0 0 0,-1-1 0,1 1 0,-1 0 0,0-1 0,0 1 0,0-1 0,-1 1 0,1-1 0,-5 5 0,-1-2 0,1 0 0,-2 0 0,1-1 0,-1 0 0,1 0 0,-1-1 0,0 0 0,-1-1 0,1 1 0,-1-2 0,1 0 0,-1 0 0,0-1 0,0 0 0,0 0 0,0-1 0,-10-2 0,19 2 2,0 0-1,0 0 1,1 0 0,-1 0-1,0-1 1,1 1 0,-1 0-1,0-1 1,1 1-1,-1 0 1,0-1 0,1 1-1,-1-1 1,1 1-1,-1-1 1,1 1 0,-1-1-1,1 1 1,-1-1-1,1 0 1,-1 1 0,1-1-1,0 0 1,-1 1 0,1-1-1,0 0 1,0 1-1,-1-1 1,1 0 0,0 1-1,0-1 1,0 0-1,0 0 1,0 1 0,0-1-1,0 0 1,0 0-1,0 1 1,1-1 0,-1 0-1,0 0 1,0 1 0,1-1-1,-1 0 1,0 1-1,1-1 1,0-1 0,25-31-582,-20 26-283,6-7-5963</inkml:trace>
  <inkml:trace contextRef="#ctx0" brushRef="#br0" timeOffset="25978.16">22401 26815 24575,'-2'95'0,"5"105"0,23-40 0,-22-143 0,0-1 0,1 1 0,8 17 0,-8-21 0,0 0 0,0 1 0,-1 0 0,-1-1 0,2 22 0,8 61 0,-8-66 0,3 57 0,-9 687-1365,1-751-5461</inkml:trace>
  <inkml:trace contextRef="#ctx0" brushRef="#br0" timeOffset="26403.38">22585 27748 24575,'52'60'0,"-35"-39"0,0-1 0,24 21 0,144 118 0,-16-35 89,-77-61-1543,-79-53-5372</inkml:trace>
  <inkml:trace contextRef="#ctx0" brushRef="#br0" timeOffset="26810.88">22664 27829 24575,'2'-3'0,"0"0"0,1 0 0,-1 0 0,0 0 0,1 0 0,0 0 0,-1 1 0,1-1 0,0 1 0,0 0 0,1 0 0,5-3 0,6-5 0,14-13 0,2 2 0,43-22 0,-26 16 0,84-63 0,-113 78 0,-1-2 0,0 0 0,29-29 0,-25 22 0,39-50-1365,-50 60-5461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35:23.83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2294 0 24575,'-3'2'0,"0"0"0,0-1 0,1 1 0,-1 0 0,0 0 0,1 0 0,-1 1 0,1-1 0,0 1 0,0-1 0,0 1 0,0 0 0,0 0 0,1-1 0,-3 7 0,-6 7 0,-7 4 0,-2 0 0,-26 23 0,-26 28 0,29-25 0,30-34 0,0 1 0,0 0 0,2 0 0,-1 1 0,2 1 0,-14 28 0,-11 28 0,24-51 0,0 0 0,2 0 0,-10 32 0,-16 50 0,25-81 0,1-1 0,2 2 0,0-1 0,1 1 0,-3 31 0,6 265 0,5-148 0,-1-143 0,1 1 0,2-1 0,1 0 0,1 0 0,18 44 0,-4-10 0,-13-41 0,1-1 0,1 0 0,1-1 0,0 0 0,1 0 0,17 17 0,31 49 0,10 22 0,17 31 0,-61-93 0,-15-26 0,0 0 0,10 28 0,53 103 0,-64-124 0,-2 0 0,-1 1 0,0 0 0,-2 0 0,-1 0 0,0 47 0,-4-60 0,-1 1 0,0-1 0,-1 0 0,-1 0 0,0 0 0,-1 0 0,0 0 0,-1-1 0,-1 0 0,0 0 0,0 0 0,-1-1 0,-1 1 0,1-2 0,-13 13 0,-123 132 0,134-144 0,0 0 0,1 1 0,1 0 0,0 0 0,1 1 0,0 0 0,1 0 0,0 0 0,1 1 0,1-1 0,0 1 0,-2 19 0,1 21 0,7 105 0,0-66 0,-3-48 0,-2-26 0,2 1 0,0 0 0,1 0 0,1 0 0,1 0 0,1-1 0,0 1 0,13 32 0,11 13 0,31 105 0,-37-101 0,78 184 0,-86-218 0,-2 1 0,10 46 0,7 23 0,-19-72 0,8 61 0,-14-65 0,2 0 0,1-1 0,12 34 0,-7-26 0,-1 1 0,10 60 0,-7-26 0,23 140 0,1-8 0,-21-136 0,-7-30 0,-2-1 0,7 71 0,-11-71 0,11 53 0,-7-55 0,-3-1 0,2 37 0,-5-35 0,1 0 0,14 60 0,-7-19 97,-9-57-585,1-1 1,7 33 0,0-27-6339</inkml:trace>
  <inkml:trace contextRef="#ctx0" brushRef="#br0" timeOffset="1333.54">1357 2848 24575,'-12'30'0,"1"-9"0,-1 24 0,10-32 0,-1 0 0,-1-1 0,0 1 0,-1-1 0,-11 21 0,6-12 0,0 0 0,2 0 0,0 1 0,1 0 0,1 1 0,-3 28 0,-2 2 0,-15 84 0,-12 50 0,-1-45 0,-22 166 0,24-82 0,2-59 0,23-121 0,2 1 0,2 0 0,-3 58 0,9-63 0,-14 67 0,8-66 0,-3 62 0,10-52-36,1-16-150,-1 0 0,-11 61 0,-35 127 68,40-179 118,-2 60 0,-4 27 0,-8 37-10,-2 13 138,9-39 519,13-113-656,-1 0 0,-2 0 1,-1 0-1,-1 0 0,-13 38 0,10-39 9,1 1 0,1 1 0,2-1 0,1 1 0,0 63 0,0-3 0,-9 13-807,-39 154 0,50-253 806,-41 177-486,4 51-423,30-184 910,-21 67 0,-4 15 0,-6 93 0,6-56-57,21-120 133,3 0 1,2 1-1,-1 52 1,8-83 44,1 38 96,-13 91 0,0-52 106,5 2-1,5 107 1,2-175-376,-2 0 0,-11 51 0,7-49-4,-5 64 1,12-7 62,1-49 40,-1 0 1,-3 0-1,-9 51 0,-32 179 354,41-248-407,-7 177-8,5-51 185,-13-17 679,10-78-887,-3 60 0,12 66 38,-2 61 0,-17-120-297,11-82 101,-5 67 0,10 752-128,5-413 426,-3 234 236,-2-642-489,-2 0 0,-10 47-1,7-44-107,-5 66 0,10 608 1003,5-343-1768,-1-173 831,-6 215 201,-13-271-8,-2 37 0,19-75 801,2-57-1097,-2 0 0,-2-1 0,-12 67 0,3-57 290,3 1 0,-1 72 0,10 115-22,2-84 19,-3 758 222,2-878-232,2 1 1,10 43-1,-6-40-6,4 67 0,-11-63 12,3 0 0,2-1 0,2 0 0,20 66 0,-17-67 13,-1 0 0,4 78 0,9 40 0,-10-104 0,-3-19 0,-1 0 0,-3 0 0,2 41 0,-7-47-140,2 0 1,14 63-1,-11-60 142,-1 1 0,0 51 0,-4-49 0,1-1-1,9 40 1,9 15 530,-3 0 0,7 168 0,-22-213-343,14 75 0,-7-71 130,1 56-1,-9-69-449,3 0 0,0-1-1,3 1 1,1-1 0,18 51-1,-19-65 90,-1 1 0,-1 0 0,-1 0 0,0 30 0,-1-19 7,8 42-1,41 219 36,-48-257 50,-1-17 93,0 1 0,1-1 0,1 0 0,14 36 0,8 20 15,-2 1 0,21 137 1,-30-137-127,-9-49-165,3-1 0,13 32-1,-11-32-52,15 58-1,-13-29 187,3 1 0,36 86 0,-31-89 54,17 78 0,-26-84-90,3 0 1,28 64-1,91 213-118,-21-104 154,-13-39 888,-58-113-850,-18-33-38,31 37 0,-29-42 0,30 52 0,-43-64 0,1 0 0,1-1 0,1-1 0,38 37 0,-30-31 0,39 56 0,-25-30 0,-16-23 0,-11-13 0,1 0 0,1-1 0,31 28 0,52 35-1365,-87-73-5461</inkml:trace>
  <inkml:trace contextRef="#ctx0" brushRef="#br0" timeOffset="1772.3">1806 23265 24575,'1'21'0,"0"0"0,1 0 0,1 0 0,1 0 0,1-1 0,1 0 0,1 0 0,13 29 0,9 20 0,31 114 0,-23-10 0,-15-61 0,8-11 0,-21-75 0,-1 1 0,-1 0 0,7 56 0,-6-20 0,1 13 0,-9-75 0,0 0 0,0 0 0,0-1 0,0 1 0,0 0 0,0 0 0,0 0 0,0-1 0,0 1 0,0 0 0,0 0 0,0-1 0,0 1 0,0 0 0,-1 0 0,1-1 0,0 1 0,-1 0 0,1-1 0,-1 1 0,1 0 0,0-1 0,-1 1 0,1-1 0,-1 1 0,0-1 0,1 1 0,-1-1 0,1 1 0,-1-1 0,0 1 0,1-1 0,-1 0 0,0 1 0,0-1 0,1 0 0,-1 0 0,0 0 0,0 1 0,1-1 0,-1 0 0,0 0 0,0 0 0,1 0 0,-1 0 0,0 0 0,0-1 0,1 1 0,-1 0 0,0 0 0,0-1 0,1 1 0,-1 0 0,0 0 0,1-1 0,-1 1 0,0-1 0,1 1 0,-1-1 0,1 1 0,-1-1 0,0 1 0,0-2 0,-44-39 0,41 37 0,-36-37-1365,21 24-5461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35:29.30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6917 24575,'1'-6'0,"0"0"0,0 0 0,1 0 0,0 0 0,0 1 0,0-1 0,0 0 0,1 1 0,0 0 0,0-1 0,7-7 0,47-49 0,5 8-308,2 3-1,135-81 0,-137 91 309,-39 25 0,42-23 0,70-36 0,35-15 0,-25 18 52,38-14 21,241-107-1702,-329 146 1470,111-35 159,6-4 0,227-90 0,-245 106 0,290-124-2289,-220 100 1609,209-72-569,-407 145 1218,81-33 31,42-13 0,119-33 0,-58 16 0,122-37 0,295-130 0,-623 234 0,301-126 160,59-24 43,-224 86-203,-9 4 0,111-49 344,-112 47-183,-140 66-160,369-156 61,125-25-62,-317 128 0,-65 22 0,161-32 43,-74 23 12,33-22-33,127-29-15,-303 83-7,63-19 0,404-144 0,8-29 0,-434 169-11,62-25 72,-176 64-47,253-113 223,83-40-10,-266 122-203,199-89 518,-119 61-553,-52 23 72,-33 8 42,-18 7-15,65-18 0,55-17-88,-124 40 0,1 2 0,0 2 0,116-17 0,-130 27 337,-1-1 0,-1-2 1,53-20-1,-50 15 175,1 2 1,67-12-1,-43 14-549,75-24 1,-66 15 81,99-12-45,70-12-92,-201 33 92,153-30 0,-5 6 0,-139 24 0,89-31 0,-93 25 0,104-20 0,-79 21 6,-1-3 0,-1-4 0,82-36-1,-50 19 168,-18 6 297,121-38 455,-73 22-925,-97 34 0,83-23 0,71-10 0,-174 44 0,1-1 0,36-16 0,-36 13 0,1 1 0,25-7 0,145-33 0,-43 12 0,-17 2 0,6-1 0,-35 24 0,-66 9 0,40-8 0,22-2 328,-72 11-892,1-2-1,40-10 1,-43 5-6262</inkml:trace>
  <inkml:trace contextRef="#ctx0" brushRef="#br0" timeOffset="549.13">17519 1 24575,'52'-1'0,"-1"2"0,1 3 0,70 14 0,-59-3 0,-21-4 0,1-1 0,0-3 0,51 3 0,-58-7 0,0 1 0,43 11 0,-5 0 0,-61-13 0,1 0 0,-1 1 0,-1 1 0,1 0 0,0 1 0,-1 0 0,21 13 0,-28-14 0,0-1 0,0 1 0,-1 0 0,1 1 0,-1-1 0,0 1 0,0 0 0,-1 0 0,1 0 0,-1 0 0,0 1 0,-1-1 0,1 1 0,-1 0 0,0-1 0,-1 1 0,1 0 0,0 11 0,2 40 0,-2 0 0,-10 91 0,2-113 0,-2 0 0,-2 0 0,-1-1 0,-1-1 0,-2 0 0,-1-1 0,-20 32 0,-9 2 0,28-44 0,-21 40 0,33-54-66,-18 38-584,-51 77 1,60-104-6177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06:12.6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24575,'0'6'0,"1"-1"0,0 1 0,0 0 0,1-1 0,0 0 0,0 1 0,0-1 0,0 0 0,1 0 0,0 0 0,0 0 0,1 0 0,5 6 0,62 58 0,-38-38 0,127 101 0,-142-117 0,0 0 0,26 15 0,-9-6 0,5 6 0,2 2 0,88 49 0,-113-73-97,-1-1-1,1 0 1,1-1-1,-1-1 1,1-1-1,0-1 1,0 0-1,0-1 1,0-1-1,0-1 1,0 0-1,1-1 0,19-5 1,-20 0-6729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06:17.55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 1 24575,'-1'20'0,"0"0"0,2-1 0,1 1 0,0 0 0,2-1 0,0 1 0,1-1 0,1 0 0,0 0 0,2-1 0,10 18 0,147 222 0,-102-173 0,-16-24 0,-29-36 0,-6-9 0,0 0 0,-2 1 0,10 20 0,-15-24 0,0-1 0,-1 0 0,-1 1 0,0 0 0,0 0 0,-2 0 0,1 0 0,-2 16 0,0-23 0,0 0 0,0 0 0,-1 0 0,0 0 0,0 0 0,-1 0 0,0-1 0,0 1 0,0-1 0,0 1 0,-1-1 0,0 0 0,0 0 0,-1 0 0,1 0 0,-1 0 0,0-1 0,0 0 0,-10 7 0,-12 7 0,-157 94 0,57-47-1365,110-59-5461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44:12.54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318 1 24575,'0'768'-1365,"0"-745"-5461</inkml:trace>
  <inkml:trace contextRef="#ctx0" brushRef="#br0" timeOffset="390.62">636 1 24575,'-1'36'0,"2"1"0,2-1 0,9 51 0,-7-58 0,-1 0 0,0 43 0,-3-43 0,1 0 0,9 49 0,-6-49-228,-1 0-1,-2 0 1,-1 46-1,-2-64-222,1 12-6375</inkml:trace>
  <inkml:trace contextRef="#ctx0" brushRef="#br0" timeOffset="919.21">1 557 24575,'2'5'0,"0"0"0,0 0 0,1 0 0,0-1 0,0 1 0,0-1 0,0 1 0,1-1 0,0 0 0,0 0 0,8 6 0,0 1 0,20 19 0,38 29 0,-52-42 0,0 1 0,-1 0 0,17 24 0,-8-11 0,84 107 0,-58-70 0,-39-50 0,-1-1 0,2 0 0,1-1 0,0 0 0,32 25 0,-45-39 0,1 0 0,-1-1 0,1 1 0,-1-1 0,1 1 0,-1-1 0,1 0 0,0 0 0,0-1 0,-1 1 0,1 0 0,0-1 0,0 0 0,0 0 0,0 1 0,-1-2 0,1 1 0,0 0 0,0-1 0,0 1 0,0-1 0,-1 0 0,1 0 0,0 0 0,-1 0 0,1 0 0,-1 0 0,1-1 0,-1 0 0,1 1 0,-1-1 0,0 0 0,4-4 0,4-6 0,0-1 0,-1 0 0,0-1 0,-1 0 0,6-15 0,3-4 0,91-135 0,-43 72 0,-56 81-111,4-3-140,-2-1 0,0 0 1,-1 0-1,14-39 0,-20 41-6575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50:48.27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24575,'-1'16'0,"2"0"0,0 0 0,0 0 0,6 18 0,-4-25 0,0-1 0,0 1 0,1-1 0,1 1 0,-1-1 0,1 0 0,1-1 0,9 12 0,91 86 0,-46-48 0,119 97 0,-149-130 0,17 15 0,1-3 0,2-2 0,88 45 0,-100-61 0,-18-8 0,0 0 0,1-1 0,0-1 0,1-1 0,0 0 0,0-2 0,0-1 0,34 2 0,553-7 0,-589-1 0,-1 0 0,0-1 0,0-1 0,-1-1 0,25-9 0,32-8 0,-57 18 0,34-8 0,86-29 0,-14-20 0,-99 50-136,-1 0-1,-1-2 1,0-1-1,0 0 1,-1-2-1,-1 0 1,-1-2-1,-1 0 0,34-40 1,-41 42-6690</inkml:trace>
  <inkml:trace contextRef="#ctx0" brushRef="#br0" timeOffset="471.25">2065 372 24575,'119'-2'0,"133"5"0,-246-2 0,1 0 0,-1 1 0,1-1 0,-1 2 0,0-1 0,1 1 0,-1 0 0,-1 0 0,1 0 0,0 1 0,-1 0 0,0 0 0,0 1 0,0-1 0,0 1 0,-1 0 0,0 0 0,0 1 0,0-1 0,0 1 0,-1 0 0,0 0 0,-1 0 0,1 0 0,-1 0 0,0 1 0,-1-1 0,2 7 0,4 19-111,-1-7-307,-1 1 0,4 49 0,-9-52-6408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53:16.39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24575,'8'0'0,"1"1"0,-1 1 0,1-1 0,-1 1 0,0 1 0,0-1 0,0 1 0,0 1 0,14 7 0,65 51 0,-31-21 0,-40-30 0,0 0 0,-1 0 0,0 2 0,-1 0 0,0 0 0,-1 2 0,-1-1 0,0 2 0,-1-1 0,0 2 0,-2-1 0,15 35 0,-21-42 0,3 10 0,0 0 0,-1 0 0,-1 0 0,2 28 0,-6-42 0,0 0 0,0 0 0,0 0 0,-1 0 0,0 0 0,0 0 0,0-1 0,0 1 0,-1 0 0,0 0 0,0-1 0,0 1 0,0-1 0,-1 0 0,0 0 0,0 0 0,0 0 0,0 0 0,-1-1 0,1 1 0,-1-1 0,-7 5 0,7-6 0,1 0 0,-1 1 0,1-1 0,-1 1 0,1 0 0,0 0 0,0 0 0,0 0 0,1 1 0,-1-1 0,1 1 0,0-1 0,0 1 0,-3 7 0,5-9 0,0 1 0,-1 0 0,2-1 0,-1 1 0,0 0 0,0-1 0,1 1 0,0 0 0,-1-1 0,1 1 0,0-1 0,0 1 0,1-1 0,-1 0 0,0 1 0,1-1 0,-1 0 0,1 0 0,0 0 0,0 0 0,0 0 0,0 0 0,0-1 0,3 3 0,1 0 0,-1 1 0,1-1 0,-1 1 0,0 0 0,0 1 0,-1-1 0,1 1 0,-1 0 0,0 0 0,-1 0 0,0 1 0,0-1 0,0 1 0,-1-1 0,0 1 0,0 0 0,-1 0 0,2 9 0,21 83 0,-17-77 0,-1 0 0,-1 1 0,-1 0 0,1 28 0,-4-35 0,-2-1 0,1 1 0,-2-1 0,0 1 0,-1-1 0,-1 1 0,0-1 0,-1 0 0,-11 24 0,2-7 0,12-26 0,0 0 0,0 0 0,-1 0 0,0 0 0,0-1 0,0 1 0,-1-1 0,0 1 0,0-1 0,0-1 0,0 1 0,-1 0 0,0-1 0,0 0 0,0 0 0,-10 5 0,6-5-115,5-2-24,-1 0 1,1 0-1,0 0 0,0 1 0,0 0 0,0 0 0,0 0 0,-3 3 0,-2 8-6687</inkml:trace>
  <inkml:trace contextRef="#ctx0" brushRef="#br0" timeOffset="752.8">954 662 24575,'-2'0'0,"1"0"0,0 1 0,0-1 0,0 1 0,0-1 0,0 1 0,0-1 0,0 1 0,0-1 0,0 1 0,0 0 0,0-1 0,0 1 0,1 0 0,-1 0 0,0 0 0,0 0 0,1 0 0,-1 0 0,1 0 0,-1 0 0,1 0 0,-1 0 0,1 0 0,0 0 0,-1 0 0,1 0 0,0 1 0,0-1 0,0 0 0,0 0 0,0 0 0,0 0 0,0 0 0,0 1 0,0-1 0,1 0 0,-1 1 0,1 2 0,-1 1 0,1-1 0,0 0 0,0 0 0,0 0 0,0 0 0,1 0 0,-1-1 0,5 7 0,-1-4 0,1-1 0,0 0 0,0 0 0,0-1 0,1 0 0,-1 0 0,1 0 0,0-1 0,0 0 0,1 0 0,-1-1 0,0 0 0,1 0 0,0-1 0,8 1 0,17 1 0,0-3 0,43-3 0,-11 0 0,940 3-116,-954-2-200,54-10 1,49-2 365,-86 10-50,101-18 0,46-4 0,-137 19 0,138-29 0,-17 0 0,-17 8-545,-141 22 722,0-1 1,0-2-1,-1-2 1,0-1-1,-1-2 1,49-26-1,-78 34-163,0 0-1,-1 0 0,0-1 0,0 0 1,-1 0-1,0-1 0,0 0 1,9-13-1,-14 17-91,0-1 0,0 0 0,-1 0-1,1 0 1,-1 0 0,0 0 0,0 0 0,-1-1 0,0 1-1,0 0 1,0-1 0,0 1 0,-1-1 0,0 0 0,0 1-1,-1-1 1,0 1 0,-1-9 0,-4-3-6748</inkml:trace>
  <inkml:trace contextRef="#ctx0" brushRef="#br0" timeOffset="1349.28">3811 371 24575,'56'21'0,"-29"-18"0,0-1 0,1-1 0,39-3 0,-42 0 0,0 1 0,0 1 0,0 1 0,37 8 0,-56-8 0,0 1 0,-1 0 0,1 1 0,-1 0 0,1 0 0,-1 0 0,0 0 0,0 1 0,-1 0 0,1 0 0,-1 0 0,0 0 0,0 1 0,0-1 0,0 1 0,-1 0 0,0 1 0,0-1 0,0 0 0,-1 1 0,0 0 0,0-1 0,1 8 0,2 5 0,-2 0 0,-1-1 0,0 1 0,-1 0 0,-1 0 0,-3 28 0,2-39 0,0 0 0,-1 0 0,0 0 0,0-1 0,-1 1 0,0-1 0,0 1 0,0-1 0,-1 0 0,0 0 0,0-1 0,-7 8 0,-7 5 0,-2 0 0,-21 16 0,-22 20 0,29-24-1365,16-18-5461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54:30.77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1 544 24575,'0'-1'0,"1"-1"0,-1 1 0,1 0 0,-1 0 0,1 0 0,0 0 0,0 0 0,0 0 0,0 0 0,0 0 0,0 0 0,0 0 0,0 0 0,0 1 0,0-1 0,0 0 0,0 1 0,1-1 0,1 0 0,33-13 0,-27 11 0,17-7 0,-2 0 0,47-13 0,-17 10 0,-1-3 0,97-44 0,-107 42 0,55-14 0,-54 19 0,58-26 0,-61 22 0,81-23 0,-84 31 0,-1-3 0,-1-1 0,40-20 0,-37 15-39,-31 15-109,1-1 1,-1 1 0,0-2-1,1 1 1,-2-1 0,1 0 0,-1-1-1,14-12 1,-12 5-6679</inkml:trace>
  <inkml:trace contextRef="#ctx0" brushRef="#br0" timeOffset="655.51">953 94 24575,'21'-2'0,"0"0"0,0-2 0,0 0 0,36-13 0,40-8 0,-41 15 0,-27 4 0,1 1 0,41 0 0,-10 6 0,-37 1 0,0-2 0,0 0 0,0-2 0,47-8 0,-67 9 0,-1 0 0,0 0 0,0 1 0,0-1 0,0 1 0,0 0 0,0 0 0,1 0 0,-1 0 0,4 1 0,-7-1 0,1 0 0,-1 1 0,0-1 0,1 0 0,-1 0 0,0 0 0,1 0 0,-1 1 0,0-1 0,0 0 0,1 0 0,-1 1 0,0-1 0,1 0 0,-1 1 0,0-1 0,0 0 0,0 1 0,1-1 0,-1 0 0,0 1 0,0-1 0,0 0 0,0 1 0,0-1 0,0 0 0,0 1 0,0-1 0,0 1 0,0 0 0,-11 19 0,-2-6 29,-1 0-1,-23 16 0,25-21-269,0 0-1,1 2 0,0-1 0,1 1 1,-10 14-1,11-11-6584</inkml:trace>
  <inkml:trace contextRef="#ctx0" brushRef="#br0" timeOffset="1747.72">27 650 24575,'23'0'0,"0"1"0,1 1 0,-1 1 0,0 1 0,0 1 0,-1 1 0,1 1 0,-1 1 0,27 14 0,87 34 0,-92-40 0,78 40 0,-92-41 0,47 17 0,1 0 0,64 25 0,-4-2 0,-120-48 0,1-1 0,0-1 0,36 6 0,-13-3 0,-14-2-119,-10-3-37,0 1 1,0 0-1,0 2 0,-1 0 0,0 0 0,0 2 1,29 17-1,-33-16-6670</inkml:trace>
  <inkml:trace contextRef="#ctx0" brushRef="#br0" timeOffset="2358.54">1297 967 24575,'5'0'0,"0"1"0,0 0 0,0 0 0,0 0 0,0 1 0,0 0 0,0 0 0,0 0 0,-1 0 0,7 5 0,47 37 0,-27-19 0,-11-11 0,-9-8 0,-2 1 0,1 0 0,-1 1 0,0 0 0,0 1 0,8 10 0,-16-17 0,1 0 0,-1 0 0,0 0 0,0 1 0,0-1 0,0 0 0,-1 1 0,1-1 0,-1 0 0,1 1 0,-1-1 0,0 1 0,0-1 0,0 1 0,0-1 0,0 1 0,0-1 0,-1 1 0,1-1 0,-1 1 0,0-1 0,0 0 0,0 1 0,0-1 0,0 0 0,0 0 0,-1 0 0,1 0 0,-1 0 0,1 0 0,-1 0 0,0 0 0,0-1 0,0 1 0,-3 1 0,-9 9-151,-1-1-1,0-1 0,0 0 0,-1-1 1,-1 0-1,1-2 0,-2 0 1,-34 9-1,33-13-6674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58:51.24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9500 1249 24575,'9'1'0,"0"0"0,-1 1 0,1 0 0,0 0 0,0 1 0,-1 0 0,16 9 0,-14-7 0,0-1 0,0 0 0,0 0 0,1-1 0,13 2 0,56 9 0,-50-8 0,0-2 0,40 2 0,-39-6 0,1 1 0,-1 1 0,45 10 0,-30-5 0,1-2 0,-1-2 0,1-1 0,47-6 0,13 1 0,-70 3 0,5 2 0,0-3 0,0-1 0,-1-2 0,1-2 0,51-13 0,-69 9 0,0-1 0,0-1 0,30-21 0,27-13 0,-24 17 0,-2-3 0,-2-2 0,-1-2 0,-1-3 0,80-80 0,-81 75 0,-37 34 0,0 0 0,-1-1 0,0-1 0,11-16 0,0-2 0,-12 18 0,-2-1 0,1-1 0,-2 1 0,0-1 0,0-1 0,7-20 0,-14 31 0,8-25 0,10-52 0,-17 73 0,-1-1 0,-1 1 0,1-1 0,-1 0 0,-1 0 0,0 1 0,0-1 0,-1 1 0,0-1 0,-5-15 0,2 18 0,0-1 0,0 1 0,0 0 0,0 0 0,-1 1 0,0-1 0,0 1 0,-1 0 0,0 1 0,-9-5 0,-28-23 0,30 20 0,-2 0 0,1 0 0,-2 2 0,1 0 0,-2 0 0,1 2 0,-1 0 0,-20-5 0,22 7 0,0-1 0,1-1 0,-20-12 0,20 11 0,-1 0 0,-30-12 0,-179-70 0,208 85 0,0 1 0,0 1 0,-1 1 0,1 0 0,-1 1 0,1 1 0,-1 0 0,0 2 0,-25 3 0,21-2 0,1 0 0,-1-2 0,0 0 0,1-2 0,-41-8 0,34 4 0,-57-7 0,-7-1 0,44 7 0,0 2 0,0 2 0,-87 6 0,27 0 0,-315-3 0,398 2 0,-1 2 0,2 1 0,-1 0 0,1 2 0,-1 1 0,-35 17 0,35-11 0,0 0 0,0 2 0,1 1 0,1 0 0,1 2 0,1 1 0,-22 26 0,17-20 0,13-10 0,1 0 0,1 1 0,0 0 0,1 1 0,1 0 0,1 0 0,1 1 0,-10 36 0,7-18 0,1 0 0,2 1 0,-3 55 0,6 116 0,5-135 0,-1-65 0,1 0 0,1-1 0,-1 1 0,2-1 0,-1 1 0,1-1 0,0 0 0,1 0 0,0 0 0,0-1 0,1 1 0,-1-1 0,2 0 0,-1 0 0,1-1 0,10 9 0,10 9 0,2-2 0,51 32 0,-76-52 0,48 28 0,-33-21 0,-1 1 0,-1 0 0,28 24 0,-13-12-1365,-16-15-5461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36.2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24575,'0'394'-1365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36.96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40 1 24575,'4'0'0,"2"5"0,-1 5 0,-4 2 0,-9-2 0,-1-7 0,-5-3 0,1-7 0,2-2-8191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40.28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580 1 24575,'-7'0'0,"1"1"0,-1 0 0,1 0 0,0 0 0,0 1 0,-1 0 0,1 0 0,0 1 0,1 0 0,-1 0 0,0 0 0,-7 6 0,-5 6 0,0 1 0,-18 20 0,-9 8 0,-84 85 0,4-7 0,53-49 0,71-72-42,0 0-7,0 0 0,0 1 0,0-1 0,0 0 0,0 0 0,-1 0 0,1 0 0,0 0 0,-1 0 0,1 0 0,0 0 0,-1 0 0,1-1 0,-1 1 0,1-1 0,-1 1 0,0-1 0,1 1 0,-1-1 0,1 0 0,-1 0 0,0 0 0,1 0 0,-1 0 0,1 0 0,-3-1 0,-4-6-6777</inkml:trace>
  <inkml:trace contextRef="#ctx0" brushRef="#br0" timeOffset="422.38">24 1 24575,'6'1'0,"1"0"0,-1 0 0,1 1 0,-1 0 0,0 0 0,0 1 0,0 0 0,0 0 0,0 0 0,0 1 0,-1-1 0,0 1 0,0 1 0,0-1 0,0 1 0,0 0 0,-1 0 0,6 10 0,1-1 0,-1 1 0,-1 1 0,-1 0 0,0 0 0,10 31 0,11 24 0,-20-54 0,-2 0 0,9 29 0,7 36-1365,-20-63-5461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39.00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219 1 24575,'-8'-1'0,"-1"1"0,1 0 0,0 1 0,0-1 0,0 2 0,0-1 0,1 1 0,-1 0 0,0 1 0,1-1 0,-1 2 0,1-1 0,0 1 0,0 0 0,0 0 0,1 1 0,-1 0 0,1 0 0,0 1 0,1-1 0,-1 1 0,1 1 0,-8 13 0,6-8 0,1 0 0,0 1 0,1-1 0,1 1 0,-5 20 0,8-25 0,-1 0 0,1-1 0,1 1 0,0 0 0,0 0 0,0-1 0,1 1 0,0 0 0,0-1 0,1 1 0,3 8 0,-3-13 0,0 0 0,0 0 0,0 0 0,0-1 0,1 1 0,0 0 0,-1-1 0,1 0 0,0 0 0,0 0 0,0 0 0,1 0 0,-1-1 0,0 1 0,1-1 0,-1 0 0,1 0 0,-1 0 0,1 0 0,-1-1 0,1 1 0,0-1 0,-1 0 0,1 0 0,0-1 0,4 0 0,6 0 0,0-1 0,0 0 0,0-1 0,-1 0 0,21-9 0,-16 4 0,0 0 0,-1-2 0,0 0 0,-1-1 0,0-1 0,0 0 0,-1-1 0,-1-1 0,22-26 0,-14-16 0,-19 42 0,-13 42 0,3-1 0,0 1 0,2 0 0,1 0 0,0 31 0,6 118 0,1-62 0,-3 43-1365,0-135-5461</inkml:trace>
  <inkml:trace contextRef="#ctx0" brushRef="#br0" timeOffset="373.05">748 531 24575,'4'0'0,"2"4"0,-1 7 0,0 5 0,-2 4 0,-1 4 0,-1 2 0,0 2 0,-1-1 0,-1-8 0,1-8-8191</inkml:trace>
  <inkml:trace contextRef="#ctx0" brushRef="#br0" timeOffset="672.91">748 292 24575,'0'-5'0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37.55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24575,'4'0'0,"6"0"0,7 0 0,3 0 0,4 0 0,2 0 0,2 0 0,-1 0 0,1 0 0,-1 0 0,0 0 0,0 0 0,-5 0-8191</inkml:trace>
  <inkml:trace contextRef="#ctx0" brushRef="#br0" timeOffset="278.22">1 213 24575,'4'0'0,"6"0"0,7 0 0,3 0 0,4 0 0,2 0 0,2 0 0,-5 0-8191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33.86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636 1 24575,'-16'0'0,"-4"-1"0,-1 2 0,1 0 0,-22 5 0,34-4 0,1 0 0,0 0 0,0 1 0,0 0 0,0 0 0,0 1 0,1 0 0,-1 0 0,1 1 0,0-1 0,-9 11 0,-90 91 0,61-49 0,4 3 0,2 1 0,3 1 0,-34 82 0,20-25 0,44-105 0,0 1 0,1-1 0,1 1 0,0-1 0,-2 31 0,7 79 0,0-51 0,3-26-1365,1-30-5461</inkml:trace>
  <inkml:trace contextRef="#ctx0" brushRef="#br0" timeOffset="362.32">1 477 24575,'477'0'0,"-456"-1"0,-1-1 0,34-8 0,-32 5 0,0 1 0,24-1 0,-29 4 45,0-1-1,26-7 0,14-3-1542,-36 10-5328</inkml:trace>
  <inkml:trace contextRef="#ctx0" brushRef="#br0" timeOffset="706.41">795 901 24575,'4'0'0,"2"4"0,-1 7 0,0 5 0,3 0 0,0 2 0,-1 3 0,-2-8 0,-2-5-8191</inkml:trace>
  <inkml:trace contextRef="#ctx0" brushRef="#br0" timeOffset="926.33">848 663 24575,'0'0'-8191</inkml:trace>
  <inkml:trace contextRef="#ctx0" brushRef="#br0" timeOffset="1331.4">1165 1 24575,'-2'32'0,"-2"0"0,0-1 0,-14 45 0,10-45 0,2 1 0,0 0 0,-1 47 0,9 397-1365,-2-453-5461</inkml:trace>
  <inkml:trace contextRef="#ctx0" brushRef="#br0" timeOffset="1801.55">1483 28 24575,'-1'31'0,"3"1"0,0-1 0,10 43 0,-4-26 0,-3 0 0,-2 1 0,-6 88 0,0-30 0,4-77 0,-2 0 0,-2 0 0,-9 49 0,6-44-29,2 1 0,1 0 0,4 71 0,0-41-1220,0-44-5577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45.08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28 24575,'913'0'0,"-871"-2"0,56-10 0,34-2 0,484 15-1365,-594-1-5461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42.47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1 530 24575,'1'7'0,"1"1"0,0-1 0,0 0 0,1 0 0,0 0 0,0 0 0,1-1 0,-1 1 0,2-1 0,-1 0 0,1 0 0,0 0 0,8 7 0,14 20 0,31 57 0,84 174 0,-99-178 0,-14-33 0,23 65 0,-31-52 0,-13-40 0,0 0 0,2-1 0,19 37 0,-17-38 0,10 22 0,-21-45 0,0 1 0,0-1 0,0 1 0,0-1 0,1 1 0,-1-1 0,0 0 0,1 1 0,-1-1 0,0 0 0,1 0 0,0 0 0,-1 0 0,1 0 0,-1-1 0,1 1 0,0 0 0,0-1 0,0 1 0,2-1 0,-2 0 0,0-1 0,0 1 0,0-1 0,0 0 0,0 1 0,-1-1 0,1 0 0,0 0 0,0-1 0,-1 1 0,1 0 0,-1 0 0,1-1 0,-1 1 0,0-1 0,1 0 0,-1 1 0,0-1 0,0 0 0,0 1 0,0-1 0,1-3 0,16-47 0,-16 46 0,25-87 0,32-101 0,-41 149 0,-9 22 0,13-45 0,6-65 0,-2 1 0,-22 115 0,0 0 0,1 0 0,9-18 0,11-40 0,27-187 0,-52 262-4,7-26 128,-6 26-156,-1-1 0,0 1 0,0-1-1,1 1 1,-1 0 0,0-1-1,1 1 1,-1-1 0,1 1 0,-1 0-1,0-1 1,1 1 0,-1 0-1,1 0 1,-1-1 0,1 1-1,-1 0 1,1 0 0,-1 0 0,1 0-1,-1 0 1,1 0 0,-1-1-1,1 1 1,-1 0 0,1 0 0,-1 1-1,1-1 1,-1 0 0,1 0-1,-1 0 1,1 0 0,-1 0-1,1 0 1,-1 1 0,0-1 0,1 0-1,-1 0 1,1 1 0,-1-1-1,1 0 1,-1 1 0,0-1 0,1 0-1,-1 1 1,9 7-6794</inkml:trace>
  <inkml:trace contextRef="#ctx0" brushRef="#br0" timeOffset="813.61">1562 107 24575,'-108'98'0,"-27"31"0,91-90 0,-8 11 0,4 5 0,-22 29 0,68-81 0,0-1 0,0 1 0,0-1 0,0 1 0,0-1 0,-1 0 0,1 0 0,-1 0 0,0 0 0,1 0 0,-1 0 0,0-1 0,0 1 0,-4 0 0,6-1 0,0-1 0,0 0 0,0 0 0,0 0 0,0 0 0,1 0 0,-1 0 0,0 0 0,0-1 0,0 1 0,0 0 0,0 0 0,1-1 0,-1 1 0,0-1 0,0 1 0,0 0 0,1-1 0,-1 1 0,0-1 0,0 0 0,0-1 0,-1 0 0,1 0 0,0 0 0,0 1 0,0-1 0,0-1 0,0 1 0,0 0 0,1 0 0,-1 0 0,0-4 0,0-6 0,0 1 0,0-1 0,1 0 0,0 1 0,1-1 0,1 0 0,0 1 0,4-15 0,5-8 0,22-45 0,-29 70 0,6-10 0,0 1 0,1 0 0,27-31 0,12-19 0,-47 62 0,1 1 0,0 0 0,1-1 0,-1 2 0,1-1 0,10-7 0,-14 11 0,0 0 0,-1 0 0,1 0 0,0 1 0,0-1 0,1 0 0,-1 1 0,0-1 0,0 1 0,0-1 0,0 1 0,0 0 0,0-1 0,1 1 0,-1 0 0,0 0 0,0 0 0,1 0 0,-1 0 0,0 0 0,0 0 0,0 0 0,1 1 0,-1-1 0,0 0 0,0 1 0,0-1 0,0 1 0,0-1 0,0 1 0,0 0 0,0-1 0,0 1 0,0 0 0,0 0 0,0-1 0,0 1 0,0 0 0,0 0 0,-1 0 0,2 2 0,8 18 0,-1 0 0,11 36 0,7 17 0,-6-10 0,-16-48 0,0 0 0,11 25 0,-8-31-1365,-1-5-5461</inkml:trace>
  <inkml:trace contextRef="#ctx0" brushRef="#br0" timeOffset="1189.49">1430 1 24575,'-21'56'0,"9"21"0,8-45 0,-1-1 0,-17 55 0,14-59 0,-7 45 0,4-18 0,2-4 0,7-36 0,0 0 0,0 0 0,-1-1 0,-1 0 0,-1 1 0,0-1 0,0-1 0,-1 1 0,-12 18 0,8-23-1365,2-5-5461</inkml:trace>
  <inkml:trace contextRef="#ctx0" brushRef="#br0" timeOffset="1546.84">1112 213 24575,'19'0'0,"19"-1"0,-1 2 0,1 2 0,53 10 0,-16-4 94,-59-9-459,0 2 0,0 0 1,24 7-1,-23-4-6461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46.76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24575,'31'1'0,"1"2"0,35 7 0,-34-4 0,34 1 0,0-3 0,95-6 0,-38-1 0,-94 3 0,0-1 0,0-1 0,49-11 0,-57 9-1365,-3 0-5461</inkml:trace>
  <inkml:trace contextRef="#ctx0" brushRef="#br0" timeOffset="892.35">80 54 24575,'0'3'0,"0"0"0,0-1 0,1 1 0,0 0 0,0 0 0,-1 0 0,2-1 0,-1 1 0,0-1 0,0 1 0,1-1 0,-1 1 0,1-1 0,0 0 0,0 1 0,0-1 0,0 0 0,0 0 0,0-1 0,3 3 0,7 3 0,0 0 0,0 0 0,15 5 0,6 3 0,70 31 0,-14-7 0,-87-38 0,64 37 0,-60-35 0,-1 0 0,0 1 0,0 0 0,-1 0 0,1 0 0,-1 0 0,0 1 0,0 0 0,0 0 0,2 5 0,-5-8 0,0 0 0,0 0 0,-1 0 0,1 1 0,-1-1 0,0 0 0,0 0 0,0 1 0,0-1 0,0 0 0,0 0 0,0 0 0,-1 1 0,1-1 0,-1 0 0,0 0 0,1 0 0,-1 0 0,0 0 0,0 0 0,-1 0 0,1 0 0,0 0 0,0 0 0,-1-1 0,1 1 0,-3 1 0,-5 5 0,-1 0 0,1-1 0,-1-1 0,-12 7 0,-6 4 0,-50 37 0,49-37 0,2 2 0,0 0 0,1 2 0,1 1 0,1 1 0,-30 38 0,53-60 0,-1 1 0,1 0 0,0 0 0,0 0 0,0 0 0,0 0 0,0 0 0,1 0 0,-1 0 0,1 0 0,-1 1 0,1-1 0,0 0 0,0 0 0,0 0 0,0 1 0,0-1 0,0 0 0,0 0 0,1 0 0,-1 0 0,1 1 0,0-1 0,0 0 0,0 0 0,0 0 0,0 0 0,0 0 0,0-1 0,0 1 0,1 0 0,-1-1 0,1 1 0,-1 0 0,1-1 0,0 0 0,2 2 0,9 6 0,1 0 0,0-1 0,0-1 0,22 7 0,0 2 0,-20-9 0,1-1 0,0 0 0,0-2 0,0 0 0,0-1 0,30 2 0,16 3 0,8 0 0,1-3 0,111-7 0,-58 0 0,-119 2-105,0 0 0,1 0 0,-1 0 0,0-1 0,0 0 0,0 0 0,0-1 0,0 0 0,-1 0 0,1 0 0,0-1 0,6-4 0,1-3-6721</inkml:trace>
  <inkml:trace contextRef="#ctx0" brushRef="#br0" timeOffset="2252.87">1218 319 24575,'-56'-21'0,"42"18"0,0 1 0,0 1 0,0 0 0,0 1 0,-25 2 0,34-1 0,-1 0 0,1 0 0,-1 1 0,1-1 0,0 1 0,0 1 0,0-1 0,0 1 0,0-1 0,0 2 0,1-1 0,-1 0 0,1 1 0,0 0 0,0 0 0,0 0 0,-3 6 0,3-5 0,0 1 0,1-1 0,0 1 0,0 0 0,0 0 0,1 0 0,-1 0 0,-1 10 0,4-14 0,0 0 0,0-1 0,0 1 0,0 0 0,1-1 0,-1 1 0,0 0 0,1-1 0,0 1 0,-1 0 0,1-1 0,0 1 0,-1-1 0,1 1 0,0-1 0,0 0 0,0 1 0,0-1 0,1 0 0,-1 0 0,0 0 0,0 0 0,1 0 0,-1 0 0,1 0 0,-1 0 0,1 0 0,-1 0 0,1-1 0,-1 1 0,1-1 0,0 1 0,-1-1 0,1 0 0,0 0 0,-1 0 0,3 0 0,18 4 0,-1-2 0,0-1 0,1-1 0,36-3 0,-46 1 0,-1 1 0,0-2 0,0 1 0,0-2 0,-1 1 0,1-1 0,-1-1 0,0 0 0,0 0 0,15-12 0,23-18 0,-38 29 0,0-1 0,0 0 0,-1-1 0,0 1 0,0-2 0,-1 1 0,0-1 0,12-17 0,-20 26 0,0 0 0,0 0 0,0-1 0,0 1 0,0 0 0,0 0 0,0 0 0,0-1 0,0 1 0,0 0 0,0 0 0,0 0 0,0-1 0,0 1 0,0 0 0,0 0 0,0 0 0,0 0 0,0-1 0,1 1 0,-1 0 0,0 0 0,0 0 0,0 0 0,0 0 0,0-1 0,1 1 0,-1 0 0,0 0 0,0 0 0,0 0 0,0 0 0,1 0 0,-1 0 0,0 0 0,0 0 0,0 0 0,1 0 0,-1 0 0,0 0 0,0 0 0,0 0 0,1 0 0,-1 0 0,0 0 0,0 0 0,0 0 0,0 0 0,1 0 0,-1 0 0,0 0 0,0 0 0,0 0 0,1 0 0,-1 0 0,0 1 0,0-1 0,0 0 0,0 0 0,0 0 0,1 0 0,-1 1 0,3 19 0,-3 38 0,0-50 0,1 160 0,-4 95 0,-23-105 0,24-145 0,0-1 0,-1 0 0,-1 0 0,-6 14 0,7-23-1365</inkml:trace>
  <inkml:trace contextRef="#ctx0" brushRef="#br0" timeOffset="2844.4">1509 980 24575,'6'0'0,"1"0"0,0 0 0,0-1 0,-1 1 0,1-2 0,0 1 0,-1-1 0,1 0 0,-1 0 0,0-1 0,1 1 0,-1-1 0,0-1 0,-1 1 0,1-1 0,-1 0 0,0-1 0,0 1 0,0-1 0,0 0 0,-1 0 0,6-8 0,-1-1-105,0 0 0,-1-1 0,0 1 0,-2-1 0,1-1 0,-2 1 0,0-1 0,-1 0 0,-1 0 0,0-1 0,-1 1 0,0-22 0,-1 16-6721</inkml:trace>
  <inkml:trace contextRef="#ctx0" brushRef="#br0" timeOffset="3485.79">1721 398 24575,'4'0'0,"6"0"0,2 4 0,-2 7 0,-6 1 0,-5-2-8191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5:27.70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11885 24575,'901'0'0,"-882"-1"0,1-1 0,36-9 0,-35 6 0,0 2 0,27-3 0,352 5 0,-191 3 0,-203-2 0,1 0 0,0 0 0,-1-1 0,1 0 0,-1 0 0,0-1 0,1 0 0,-1 0 0,0 0 0,0-1 0,0 1 0,0-2 0,0 1 0,-1-1 0,0 1 0,0-2 0,0 1 0,0 0 0,0-1 0,-1 0 0,0 0 0,0 0 0,0-1 0,-1 1 0,1-1 0,-1 0 0,-1 0 0,1 0 0,-1 0 0,0-1 0,-1 1 0,2-10 0,24-143 0,-15 105 0,1-25 0,-9 50 0,0 0 0,15-51 0,-11 54 0,-2-1 0,0 0 0,2-45 0,-6 42 0,9-47 0,-6 46 0,3-43 0,8-59 0,-5 54 0,1 1 0,-6 43 0,3-64 0,-7 63 0,11-57 0,-3 27 0,2-8 0,-6 44 0,-2 0 0,2-37 0,-7-10 0,0 19 0,2 1 0,14-95 0,-6 87 0,-4 0 0,-2 0 0,-7-66 0,2 7 0,2-1543 0,-2 1647 0,0-1 0,-8-33 0,6 32 0,0 0 0,-1-24 0,-9-89 0,8 86 0,-2-58 0,10-1005 0,-4 1081 0,-10-57 0,7 56 0,-4-55 0,11-892 0,-1 959 0,1 0 0,8-35 0,-5 34 0,-2-1 0,2-24 0,-5-32 0,-1 44 0,2 0 0,1 1 0,12-64 0,-7 56 0,-2-1 0,-2 0 0,-1 1 0,-6-56 0,1 0 0,2-13 0,3-124 0,11 146 0,-8 54 0,4-56 0,-7 50 0,9-48 0,-6 49 0,3-57 0,-9 67 0,2 0 0,1 0 0,11-54 0,-4 47 0,-1 6 0,-1-1 0,-1 0 0,2-42 0,-7 51 0,2-1 0,6-25 0,-4 25 0,3-46 0,8-71 0,-5 68 0,-3 22 0,23-71 0,-1 2 0,-22 77 0,0-2 0,2 0 0,18-49 0,63-158 0,-65 196 0,-17 38 0,-1-1 0,10-27 0,-7 9 0,2 0 0,1 1 0,2 1 0,22-35 0,7-12 0,-30 52 0,1 1 0,1 0 0,2 1 0,24-27 0,-12 18 0,32-29 0,-16 19 0,-34 33 0,0 0 0,0 1 0,1 0 0,21-12 0,34-25 0,-51 35 0,1 1 0,32-18 0,20-9 0,-44 24 0,50-22 0,-47 26 0,13-4 0,66-35 0,-92 43 0,0 0 0,1 2 0,0 0 0,23-4 0,28-10 0,-14 2 0,1 1 0,1 4 0,76-9 0,-60 10 0,-47 7 0,1 1 0,32-1 0,-32 5 0,-1-2 0,1 0 0,36-9 0,-16 4 0,0 2 0,-1 1 0,94 7 0,-33 0 0,607-3 0,-688-1 0,-1-2 0,33-7 0,-31 5 0,48-4 0,-45 9 0,0-2 0,54-11 0,-37 6 0,0 2 0,0 1 0,92 7 0,-33 0 0,714-3 0,-790-3 0,-1-2 0,0-1 0,-1-1 0,1-1 0,-1-2 0,41-20 0,-64 28 0,30-13 0,-7 1 0,1 2 0,0 1 0,1 1 0,0 2 0,1 1 0,40-5 0,-59 11-341,1 0 0,-1-1-1,18-5 1,-13 2-6485</inkml:trace>
  <inkml:trace contextRef="#ctx0" brushRef="#br0" timeOffset="614.4">7224 31 24575,'0'-1'0,"0"0"0,1-1 0,-1 1 0,1 0 0,0 0 0,-1 0 0,1 0 0,0 0 0,0 0 0,0 0 0,0 0 0,-1 0 0,1 1 0,0-1 0,1 0 0,-1 0 0,0 1 0,0-1 0,0 1 0,0-1 0,0 1 0,1 0 0,-1-1 0,0 1 0,0 0 0,1 0 0,1 0 0,40-5 0,-38 4 0,96-3 0,120 9 0,-204-3 0,0 2 0,-1 0 0,1 0 0,19 10 0,46 11 0,-43-18 0,-1 2 0,53 18 0,-87-25 0,-1-1 0,1 1 0,0 0 0,-1 0 0,1 0 0,-1 0 0,0 1 0,0 0 0,0-1 0,0 1 0,0 0 0,0 0 0,-1 1 0,1-1 0,-1 0 0,0 1 0,0 0 0,-1-1 0,1 1 0,-1 0 0,1 0 0,-1 0 0,-1 0 0,2 5 0,-2-4 0,0 1 0,0-1 0,-1 0 0,1 1 0,-1-1 0,0 0 0,-1 0 0,1 0 0,-1 1 0,0-2 0,-1 1 0,1 0 0,-1 0 0,0-1 0,0 1 0,0-1 0,-7 7 0,-34 27 0,32-29 0,1 0 0,0 1 0,-11 12 0,-130 137 0,109-116 0,10 3-1365,23-34-5461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5:45.1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425 1086 24575,'-1'-3'0,"1"1"0,-1-1 0,1 1 0,-1-1 0,0 1 0,0 0 0,0-1 0,0 1 0,0 0 0,-1 0 0,1 0 0,0 0 0,-1 0 0,0 0 0,0 0 0,1 0 0,-1 0 0,0 1 0,0-1 0,0 1 0,-1 0 0,1-1 0,0 1 0,-1 0 0,1 0 0,0 1 0,-1-1 0,1 0 0,-1 1 0,1 0 0,-1-1 0,-2 1 0,-15-2 0,-1 0 0,1 2 0,-22 1 0,19 0 0,-30-2 0,38 0 0,0 0 0,-1 0 0,1 2 0,0 0 0,-1 1 0,1 0 0,-28 9 0,41-10 0,0 0 0,0-1 0,0 1 0,0 0 0,0 0 0,1 0 0,-1 0 0,0 0 0,0 0 0,1 1 0,-1-1 0,1 1 0,-1-1 0,1 1 0,0-1 0,-1 1 0,1 0 0,0 0 0,0-1 0,0 1 0,1 0 0,-1 0 0,0 0 0,1 0 0,-1 0 0,1 0 0,0 0 0,-1 0 0,1 0 0,0 1 0,0-1 0,0 0 0,1 0 0,-1 0 0,0 0 0,1 0 0,0 0 0,-1 0 0,1 0 0,0 0 0,0 0 0,0-1 0,0 1 0,0 0 0,2 1 0,3 5 0,0 0 0,1 0 0,0-1 0,0 0 0,0-1 0,1 1 0,0-1 0,10 4 0,3 1 0,0-2 0,1 0 0,29 6 0,-29-8 0,0 0 0,0 1 0,27 15 0,-37-18 0,1 0 0,0 0 0,0-2 0,0 1 0,1-2 0,24 3 0,18 3 0,23 7 0,-30-6 0,1 2 0,70 25 0,-85-27 0,-24-7 0,-1 1 0,0 0 0,0 0 0,0 1 0,11 6 0,-19-10 0,-1 1 0,0 0 0,0 0 0,0 0 0,0 0 0,1 0 0,-1 0 0,0 0 0,-1 0 0,1 0 0,0 0 0,0 1 0,0-1 0,-1 0 0,1 1 0,-1-1 0,1 0 0,-1 1 0,1-1 0,-1 1 0,0-1 0,0 1 0,0-1 0,0 1 0,0-1 0,0 1 0,0-1 0,0 0 0,-1 1 0,1-1 0,0 1 0,-1-1 0,1 1 0,-1-1 0,0 0 0,1 0 0,-1 1 0,0-1 0,0 0 0,0 0 0,0 0 0,-2 2 0,-4 4 0,-1-1 0,1 0 0,-2-1 0,1 1 0,-1-1 0,1-1 0,-1 0 0,0 0 0,-1-1 0,-15 4 0,-15 7 0,0-2-1365,21-9-5461</inkml:trace>
  <inkml:trace contextRef="#ctx0" brushRef="#br0" timeOffset="328.92">1510 584 24575,'-1'51'0,"0"-12"0,1 1 0,3 0 0,11 66 0,-9-78 0,-1 0 0,1 35 0,-4-35 0,1 1 0,8 33 0,1-13-73,-1-2-573,17 46 0,-21-76-6180</inkml:trace>
  <inkml:trace contextRef="#ctx0" brushRef="#br0" timeOffset="547.31">981 1219 24575,'26'0'0,"1"-1"0,0-2 0,0 0 0,-1-2 0,1-1 0,-1-1 0,-1-1 0,47-21 0,-33 13 0,1 1 0,43-9 0,-41 13 0,72-29 0,-98 33 21,1 2 0,0 1 0,30-5 0,4-1-1470,-32 5-5377</inkml:trace>
  <inkml:trace contextRef="#ctx0" brushRef="#br0" timeOffset="1538.89">1986 1060 24575,'0'1'0,"0"0"0,1 0 0,-1 1 0,1-1 0,0 0 0,-1 0 0,1 0 0,0 0 0,0 0 0,-1 0 0,1 0 0,0-1 0,0 1 0,0 0 0,0 0 0,0-1 0,0 1 0,1-1 0,-1 1 0,0-1 0,0 1 0,0-1 0,0 1 0,1-1 0,-1 0 0,0 0 0,2 0 0,41 5 0,-39-5 0,74 4 0,110-8 0,-179 3 0,-1-2 0,0 1 0,0-1 0,0 0 0,0-1 0,-1 0 0,1 0 0,-1-1 0,11-7 0,2-4 0,-1 0 0,21-23 0,-35 32 0,1-1 0,-1 1 0,-1-2 0,1 1 0,-1 0 0,-1-1 0,6-15 0,-8 19 0,0-1 0,0 0 0,-1 1 0,1-1 0,-1 0 0,-1 0 0,1 0 0,-1 0 0,0 0 0,-1 0 0,1 0 0,-1 1 0,-3-12 0,3 15 0,0 0 0,0-1 0,0 1 0,0 0 0,-1 0 0,1 0 0,0 0 0,-1 0 0,1 0 0,-1 1 0,0-1 0,0 0 0,0 1 0,0 0 0,0-1 0,0 1 0,0 0 0,0 0 0,0 0 0,-1 0 0,1 0 0,0 1 0,-1-1 0,1 0 0,0 1 0,-1 0 0,1 0 0,-1 0 0,1 0 0,0 0 0,-1 0 0,1 1 0,-1-1 0,1 1 0,-4 1 0,0 0 0,-1 0 0,0 1 0,1 0 0,-1 0 0,1 1 0,0-1 0,0 1 0,0 1 0,1-1 0,-9 10 0,4-1 0,1 1 0,1 0 0,0 1 0,1 0 0,-9 26 0,-18 35 0,29-65 0,1-1 0,0 1 0,0 0 0,1 1 0,1-1 0,0 0 0,1 1 0,-1 18 0,3 10 0,5 44 0,-6-80 0,1-1 0,-1 1 0,1-1 0,0 1 0,0-1 0,1 1 0,-1-1 0,1 0 0,-1 0 0,1 0 0,0 0 0,0 0 0,0 0 0,1 0 0,-1 0 0,1-1 0,0 0 0,5 5 0,-3-4 0,1 0 0,0 0 0,0-1 0,0 0 0,0 0 0,1 0 0,-1 0 0,0-1 0,14 1 0,-9-2 0,0 0 0,0 0 0,0-1 0,0-1 0,0 0 0,0 0 0,0-1 0,0 0 0,-1-1 0,0 0 0,0-1 0,11-6 0,93-84 0,-70 55 0,-7 12 0,-27 22 0,-2 0 0,1-1 0,-1 0 0,0-1 0,12-13 0,-15 15 0,0 0 0,0 0 0,0 1 0,1 0 0,0 0 0,0 0 0,0 1 0,0-1 0,1 2 0,0-1 0,0 1 0,11-4 0,-16 6 0,1 0 0,0 1 0,-1-1 0,1 1 0,0 0 0,-1-1 0,1 1 0,0 0 0,-1 1 0,1-1 0,0 0 0,-1 1 0,1 0 0,-1-1 0,1 1 0,-1 0 0,1 0 0,-1 1 0,1-1 0,-1 0 0,0 1 0,0-1 0,0 1 0,0 0 0,0 0 0,0 0 0,0 0 0,-1 0 0,1 0 0,-1 0 0,1 1 0,-1-1 0,0 0 0,0 1 0,0-1 0,0 1 0,0 3 0,16 53 0,14 103 0,-27-124 0,-1 56 0,-4-64 0,2 0 0,2 0 0,8 44 0,16 111 0,-23-161 0,-1 0 0,1 38 0,-4-62 0,-1 0 0,1 0 0,0 0 0,0 0 0,0 0 0,0 0 0,0 0 0,0 0 0,0 0 0,0 0 0,0 0 0,0 0 0,0 0 0,-1 0 0,1 0 0,0 0 0,0 0 0,0 0 0,0 0 0,0 0 0,0 0 0,0 0 0,0 0 0,0 0 0,0 0 0,0 0 0,-1 0 0,1 0 0,0 0 0,0 0 0,0 1 0,0-1 0,0 0 0,0 0 0,0 0 0,0 0 0,0 0 0,0 0 0,0 0 0,0 0 0,0 0 0,0 0 0,0 0 0,0 0 0,0 0 0,0 1 0,0-1 0,0 0 0,0 0 0,0 0 0,0 0 0,0 0 0,0 0 0,0 0 0,0 0 0,-7-11 0,-4-19 0,-27-126 0,23 104 0,2-1 0,-6-60 0,6 25 0,7 59 0,2 0 0,-2-37 0,5-7 0,4-119 0,2 164 0,0-1 0,2 1 0,1 0 0,1 0 0,2 1 0,23-44 0,-24 55 0,0 0 0,1 1 0,1 0 0,0 1 0,1 0 0,0 1 0,1 1 0,1 0 0,31-20 0,-32 25 0,-1-1 0,1 2 0,1 0 0,-1 0 0,1 1 0,0 1 0,0 1 0,0 0 0,0 1 0,1 0 0,-1 2 0,23 0 0,-35 1 0,-1-1 0,1 0 0,-1 0 0,0 1 0,1-1 0,-1 1 0,1 0 0,-1 0 0,0 0 0,1 0 0,-1 0 0,0 0 0,0 1 0,0-1 0,0 1 0,0-1 0,0 1 0,-1 0 0,1 0 0,0 0 0,-1 0 0,1 0 0,-1 0 0,0 0 0,0 0 0,0 1 0,0-1 0,0 0 0,0 1 0,-1-1 0,1 1 0,-1-1 0,0 1 0,1-1 0,-1 1 0,0-1 0,0 1 0,-1-1 0,0 3 0,0 3 0,0 0 0,-1 0 0,0-1 0,-1 1 0,0-1 0,0 1 0,0-1 0,-1 0 0,0-1 0,-1 1 0,-6 7 0,-18 22 0,22-26 0,-1 0 0,0-1 0,-1 0 0,0 0 0,-15 11 0,-22 14-11,35-24-214,-1-1-1,0 0 0,0-1 0,-1 0 1,-22 9-1,18-11-6600</inkml:trace>
  <inkml:trace contextRef="#ctx0" brushRef="#br0" timeOffset="2256.28">4182 398 24575,'0'-2'0,"1"0"0,0 1 0,0-1 0,0 1 0,0-1 0,0 0 0,0 1 0,0 0 0,1-1 0,-1 1 0,0 0 0,1-1 0,-1 1 0,1 0 0,0 0 0,-1 0 0,3 0 0,32-16 0,40-13 0,88-50 0,-151 74 0,119-74 0,73-37 0,-150 75 0,-54 42 0,-1 0 0,1 0 0,-1 0 0,1 0 0,-1 0 0,1 1 0,-1-1 0,1 0 0,-1 0 0,1 1 0,-1-1 0,1 0 0,-1 1 0,0-1 0,1 1 0,-1-1 0,1 0 0,-1 1 0,0-1 0,0 1 0,1-1 0,-1 1 0,0-1 0,0 1 0,1-1 0,-1 1 0,0-1 0,0 1 0,0-1 0,0 1 0,0 0 0,0-1 0,0 1 0,0-1 0,0 1 0,0-1 0,0 1 0,0 0 0,1 29 0,-1-28 0,-1 13 0,-1-1 0,0-1 0,0 1 0,-1 0 0,-1 0 0,-9 20 0,-43 80 0,23-49 0,-97 225 0,54-125 0,15 31 0,42-110-1365</inkml:trace>
  <inkml:trace contextRef="#ctx0" brushRef="#br0" timeOffset="2523.06">4156 848 24575,'85'1'0,"94"-3"0,-45-23 0,-35 9 0,-40 4 0,-23 5 0,-1-2 0,39-16 0,46-12 0,-59 19-1365,-43 13-5461</inkml:trace>
  <inkml:trace contextRef="#ctx0" brushRef="#br0" timeOffset="3134.89">1219 2224 24575,'-1'0'0,"0"-1"0,1 1 0,-1 0 0,0 0 0,0 0 0,1 0 0,-1 0 0,0 0 0,1 0 0,-1 0 0,0 0 0,1 0 0,-1 0 0,0 0 0,1 1 0,-1-1 0,0 0 0,1 0 0,-1 1 0,0-1 0,1 0 0,-1 1 0,1-1 0,-1 1 0,1-1 0,-1 1 0,1-1 0,-1 1 0,1-1 0,-1 1 0,1-1 0,0 1 0,-1-1 0,1 1 0,0 0 0,-1-1 0,1 2 0,0-1 0,1 1 0,-1-1 0,1 0 0,0 0 0,-1 0 0,1 0 0,0 0 0,0 0 0,-1 0 0,1 0 0,0 0 0,0 0 0,0 0 0,0 0 0,0-1 0,1 1 0,-1 0 0,2 0 0,9 5 0,1-2 0,0 0 0,-1 0 0,1-1 0,1 0 0,-1-1 0,15 0 0,102-4 0,-56-1 0,-58 3-3,77 1-299,-1-5 0,139-22 0,46-12-589,-87 15 390,22 4 576,24-4-455,272-33-1142,-251 31 1522,61-2 0,-250 27 0,283-14 0,-30-18-1006,99-2 1307,-278 12 1452,-119 20-6864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42:13.54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769 323 24575,'-39'0'0,"0"-1"0,0 2 0,-46 7 0,72-6 0,-1 1 0,1 1 0,0 0 0,0 1 0,1 0 0,-1 1 0,1 1 0,0-1 0,0 2 0,-10 9 0,4-2 0,1 2 0,0 0 0,2 2 0,0-1 0,-13 23 0,-1-2 0,19-27 0,1 1 0,0-1 0,1 2 0,0-1 0,2 1 0,-7 15 0,-59 144 0,47-119 0,-28 86 0,46-106 0,2-1 0,1 2 0,2-1 0,1 0 0,6 47 0,-2 13 0,-17 75 0,1 6 0,12-156 0,-1 1 0,-9 37 0,7-36 0,0 1 0,-1 24 0,6 325 0,0-355 0,0 0 0,2 0 0,5 21 0,5 37 0,-10-49 0,1-1 0,1 1 0,10 25 0,-8-28 0,-2 0 0,0 1 0,-1-1 0,2 27 0,-7 535 0,2-554 0,2 0 0,10 39 0,-3-14 0,-5-27 0,2 0 0,1-1 0,1-1 0,14 30 0,57 97 0,16-10 0,-90-133 0,1-1 0,1 0 0,0 0 0,0-1 0,1 0 0,14 11 0,63 38 0,-81-54 0,11 7 0,1-1 0,0 0 0,0-2 0,1 0 0,0 0 0,1-2 0,-1 0 0,1-1 0,0-1 0,0-1 0,31 0 0,-28-2 0,16-2 0,0 2 0,-1 1 0,1 2 0,-1 2 0,0 1 0,50 16 0,-61-15 0,46 9 0,-17-5 0,103 15 0,-120-21 0,-1-1 0,1-1 0,62-5 0,-31 1 0,-53 0 0,0-1 0,0-1 0,0 0 0,0-1 0,-1-1 0,1 0 0,23-13 0,33-10 0,-29 16 0,1 2 0,68-7 0,22-8 0,-98 18 0,-1-3 0,49-19 0,-38 12 0,-25 7 0,-1-1 0,1 0 0,-2-1 0,0-1 0,32-29 0,-28 23 0,135-98 0,-146 108 0,0 0 0,-1-2 0,17-17 0,13-14 0,-26 28 0,-1-1 0,0-1 0,-1 0 0,18-30 0,-17 23 0,35-39 0,37-54 0,-50 70 0,-2-2 0,-1-2 0,-4 0 0,33-74 0,-54 102 0,-1 0 0,0 0 0,3-31 0,12-38 0,-15 59 0,-1 0 0,-1 0 0,-2-1 0,-2 1 0,0-1 0,-6-37 0,3-21 0,0 58 0,-2 1 0,-8-36 0,3 16 0,-18-81 0,16 80 0,-3-26 0,12 63 0,-1 0 0,0 1 0,-1 0 0,-11-29 0,9 29 0,1 0 0,0 0 0,1-1 0,-3-28 0,-9-62 0,6 53 0,-2-5 0,7 37 0,1 0 0,-2-38 0,3 32 0,-10-55 0,3 32 0,-15-47 0,18 76 0,1 1 0,1-1 0,1 0 0,-3-36 0,6 34 0,-2 1 0,-6-26 0,4 25 0,-3-47 0,7 40 0,-1 0 0,-10-53 0,2 26 0,9 44 0,-1 1 0,-1-1 0,0 0 0,0 1 0,-1 0 0,-1 0 0,-6-14 0,-22-44 0,29 58 0,-1 0 0,0 0 0,-1 1 0,0-1 0,-1 1 0,0 1 0,0-1 0,-1 1 0,-1 1 0,-11-11 0,-102-97 0,5 23 0,-20-7 0,118 90 0,-1 1 0,0 0 0,0 2 0,-1 0 0,0 2 0,0 0 0,-34-4 0,-81-11 0,-50-5 0,138 18 0,0 3 0,0 2 0,-88 6 0,29 0 0,-13-5 0,-130 5 0,240-3 0,1 1 0,0 0 0,0 1 0,-1 0 0,1 0 0,0 1 0,1 1 0,-12 4 0,17-5 0,0-1 0,0 0 0,0 1 0,0 0 0,0-1 0,0 1 0,1 0 0,-1 1 0,1-1 0,0 0 0,0 1 0,0-1 0,0 1 0,1-1 0,0 1 0,-1 0 0,1 0 0,1 0 0,-1 0 0,0 0 0,1 6 0,3 124-1365,-2-110-5461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42:16.65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20956 1 24575,'-9'1'0,"1"0"0,0 0 0,0 1 0,0 0 0,-9 3 0,-31 7 0,-9-7 0,24-3 0,-47 10 0,40-6 0,0-1 0,0-3 0,-1-1 0,-39-4 0,24 0 0,-60 6 0,45 9 0,51-7 0,0-2 0,-28 3 0,-161-8 0,-69 4 0,172 11 0,60-7 0,-55 2 0,67-6 0,-51 9 0,51-5 0,-52 1 0,12-7 0,-1-1 0,-137 17 0,167-11 0,-86-1 0,6-1 0,-44 22 0,91-14 0,32-3 0,-69 1 0,69-9 0,-6-1 0,0 3 0,-78 12 0,77-7 0,-101 1 0,-23 3 0,46 1 0,-16 3 0,98-9 0,0-3 0,-75-4 0,-50 4 0,108 9 0,-12 1 0,-73-13 0,-32 2 0,-1 24 0,114-17 0,2 0 0,-70-1 0,121-8 0,-33-1 0,0 2 0,-86 14 0,73-6 0,0-4 0,0-2 0,-77-6 0,15 0 0,-6433 3 0,6527 1 0,-57 11 0,56-6 0,-54 2 0,-10-10 0,-72 4 0,96 11 0,53-9 0,0 0 0,-30 2 0,-86 7 0,84-7 0,-55 1 0,78-8 0,-1 2 0,0 1 0,-54 11 0,48-7 0,0-1 0,0-2 0,0-2 0,-54-4 0,38 0 0,-55 6 0,35 9 0,51-7 0,0-2 0,-27 3 0,-31-6 0,44-1 0,0 1 0,0 2 0,-62 12 0,64-8 0,-62 4 0,-7 1 0,57-5 0,0-3 0,-79-3 0,-36 2 0,87 11 0,53-9 0,0 0 0,-30 2 0,-119 9 0,71-3 0,-88 14 0,115-14 0,43-7 0,0-1 0,-34 1 0,34-5 0,1 2 0,-1 0 0,-37 9 0,-120 16 0,69-9 0,74-13 0,-53 14 0,-18 27 0,65-34 0,-111 33 0,68-10 0,-95 29 0,-73 16 0,127-38 0,47-13 0,46-19 0,-64 8 0,71-14 0,-1 1 0,1 2 0,-49 17 0,71-20 0,-17 7 0,0-1 0,-1-1 0,-44 8 0,-167 34 0,53 1 0,-30 1 0,201-49 0,0 1 0,0 0 0,1 1 0,-20 11 0,19-9 0,-2 0 0,1-1 0,-18 5 0,11-5 0,1 1 0,-1 1 0,2 0 0,-39 25 0,38-22 0,1-2 0,-28 9 0,-27 14 0,-163 100 0,88-44 0,9 8 0,116-81 0,-40 34 0,-13 9 0,17-18 0,-74 64 0,41-35 0,20-18 0,28-12 0,-44 48 0,50-48 0,26-23 0,1 0 0,0 1 0,1 0 0,1 1 0,-13 30 0,-8 12 0,13-5 0,17-48 0,0 1 0,-1 0 0,0-1 0,-1 0 0,-5 11 0,-2 2 0,2 0 0,0 0 0,2 1 0,0 0 0,1 1 0,-5 43 0,-2 8 0,-20 30 0,14-48 0,14-37 0,1 1 0,0 0 0,0 24 0,-7 37 0,5-46 0,-2 53 0,-4 17 0,1-19 0,-4 25 0,-23 115 0,18-140-1365,17-67-5461</inkml:trace>
  <inkml:trace contextRef="#ctx0" brushRef="#br0" timeOffset="875.09">1 3811 24575,'3'2'0,"0"0"0,0 0 0,0 1 0,0-1 0,0 1 0,-1-1 0,1 1 0,-1 0 0,1 0 0,-1 0 0,0 1 0,2 4 0,7 7 0,23 35 0,11 11 0,41 49 0,-72-94 0,1 1 0,2 0 0,-1 0 0,2-2 0,34 24 0,-51-38 0,0-1 0,0 1 0,-1-1 0,1 1 0,0-1 0,0 1 0,0-1 0,0 0 0,0 0 0,0 1 0,0-1 0,0 0 0,0 0 0,0 0 0,0 0 0,0 0 0,0 0 0,0 0 0,0-1 0,0 1 0,0 0 0,0 0 0,-1-1 0,1 1 0,0-1 0,0 1 0,0-1 0,0 1 0,1-2 0,0 0 0,0 0 0,-1 0 0,1-1 0,-1 1 0,1-1 0,-1 1 0,0-1 0,0 0 0,0 0 0,1-3 0,1-8 0,-1 0 0,2-29 0,-2 24 0,1 0 0,0 0 0,2 0 0,10-30 0,10-41 0,-4 6-1365,-18 64-5461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47:54.59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400 560 24575,'-68'-1'0,"-76"3"0,129 1 0,0 1 0,1 0 0,0 1 0,0 1 0,1 0 0,-1 1 0,1 0 0,1 1 0,-20 15 0,30-21 0,0 0 0,-1 0 0,1 0 0,0 0 0,0 0 0,0 0 0,0 0 0,0 1 0,0-1 0,1 1 0,-1-1 0,1 1 0,0 0 0,0 0 0,0-1 0,0 1 0,0 0 0,1 0 0,-1 0 0,1 0 0,0 0 0,0 0 0,0 0 0,0 0 0,0 0 0,1 0 0,-1 0 0,1 0 0,0 0 0,0-1 0,0 1 0,0 0 0,0 0 0,1-1 0,1 4 0,2-1 0,-1 0 0,1 1 0,0-2 0,0 1 0,0-1 0,1 0 0,0 0 0,0 0 0,0-1 0,0 1 0,0-2 0,1 1 0,-1-1 0,8 2 0,9 1 0,9 2 0,56 21 0,-68-22 0,1 0 0,0-1 0,37 4 0,12 2 0,61 15 0,-114-22 0,8 1 0,-1 2 0,1 0 0,-1 2 0,32 15 0,-51-21 0,0 0 0,-1 0 0,1 0 0,-1 0 0,0 1 0,0 0 0,-1-1 0,1 2 0,-1-1 0,1 0 0,3 9 0,-5-10 0,-1 1 0,0-1 0,0 1 0,0-1 0,-1 1 0,1 0 0,-1 0 0,0-1 0,0 1 0,0 0 0,0 0 0,-1-1 0,1 1 0,-1 0 0,0-1 0,0 1 0,-1 0 0,-2 5 0,-1-1-8,-1 0 0,0 0 0,-1-1 0,0 0 0,0 0 0,0-1-1,-1 1 1,-12 7 0,-6 5-1284,13-8-5534</inkml:trace>
  <inkml:trace contextRef="#ctx0" brushRef="#br0" timeOffset="314.18">1035 348 24575,'0'557'-1365,"0"-535"-5461</inkml:trace>
  <inkml:trace contextRef="#ctx0" brushRef="#br0" timeOffset="581.04">691 825 24575,'8'-2'0,"1"0"0,0 0 0,-1-1 0,1 0 0,-1 0 0,0-1 0,0 0 0,0 0 0,-1-1 0,11-8 0,23-13 0,36-18 0,-56 30 0,1 0 0,1 2 0,42-16 0,-40 20 0,0 2 0,1 0 0,0 2 0,1 1 0,51 0 0,-52 3-1365,-3 0-5461</inkml:trace>
  <inkml:trace contextRef="#ctx0" brushRef="#br0" timeOffset="1190.36">1247 877 24575,'12'0'0,"0"-1"0,0 0 0,1-1 0,-1 0 0,0-1 0,-1-1 0,1 0 0,0 0 0,-1-1 0,0 0 0,0-1 0,-1-1 0,1 1 0,-1-2 0,9-8 0,14-10 0,-21 18 0,-1-1 0,-1 0 0,19-20 0,-25 23 0,0 1 0,-1-1 0,0 0 0,0 0 0,0 0 0,-1 0 0,0 0 0,0 0 0,0-1 0,-1 1 0,1-12 0,-1 13 0,-1-1 0,0 1 0,0-1 0,0 1 0,0 0 0,-1-1 0,0 1 0,0 0 0,0-1 0,-1 1 0,0 0 0,0 0 0,0 0 0,-4-5 0,4 7 0,0 1 0,-1 0 0,1 0 0,-1 0 0,1 0 0,-1 0 0,0 1 0,1-1 0,-1 1 0,0 0 0,0 0 0,0 0 0,0 0 0,0 0 0,0 1 0,0-1 0,0 1 0,0 0 0,-1 0 0,1 0 0,0 0 0,0 0 0,0 1 0,0 0 0,0-1 0,-4 3 0,1-2 0,0 2 0,0-1 0,0 1 0,0-1 0,1 2 0,-1-1 0,1 1 0,0-1 0,0 2 0,0-1 0,0 0 0,1 1 0,-1 0 0,1 0 0,1 0 0,-1 1 0,1-1 0,0 1 0,0 0 0,0 0 0,1 0 0,0 0 0,0 0 0,-1 8 0,-1 8 0,1 0 0,1-1 0,0 1 0,2 0 0,4 40 0,-4-58 0,1 0 0,-1-1 0,1 1 0,0 0 0,0-1 0,0 1 0,0-1 0,1 1 0,0-1 0,-1 0 0,1 0 0,0 0 0,0 0 0,1 0 0,-1 0 0,1 0 0,-1-1 0,1 1 0,0-1 0,0 1 0,0-1 0,0 0 0,1-1 0,-1 1 0,0 0 0,1-1 0,-1 0 0,6 1 0,5 1 0,0-1 0,0-1 0,1-1 0,-1 0 0,0-1 0,17-2 0,-11-1 16,0-1 0,0 0-1,0-2 1,-1 0-1,0-1 1,22-13 0,50-21-1491,-74 36-5351</inkml:trace>
  <inkml:trace contextRef="#ctx0" brushRef="#br0" timeOffset="1814.55">1855 772 24575,'0'47'0,"2"0"0,12 70 0,-5-59 0,-6-35 0,1-1 0,1 0 0,0-1 0,11 26 0,11 16 0,1 6 0,39 68 0,-57-119 0,-1 1 0,0 0 0,-2 0 0,0 0 0,-1 1 0,6 40 0,7 15 0,-27-82 0,0-1 0,0 0 0,1 0 0,-9-15 0,-78-128 0,29 41 0,50 82 0,1-1 0,1 0 0,-11-40 0,4 13 0,14 38 0,1-1 0,0 0 0,2 0 0,0 0 0,0-23 0,5-101 0,1 51 0,-2 72 0,0 1 0,2 0 0,0 0 0,2 0 0,0 1 0,1-1 0,0 1 0,2 0 0,0 1 0,1 0 0,1 0 0,14-18 0,-15 25 0,-1 2 0,1-1 0,0 1 0,1 1 0,0 0 0,0 0 0,20-10 0,30-20 0,-56 33 0,1 0 0,0 1 0,0 0 0,1 0 0,-1 0 0,0 1 0,1-1 0,8-1 0,-13 4 0,-1 0 0,1 0 0,0 0 0,-1-1 0,1 1 0,0 0 0,-1 1 0,1-1 0,0 0 0,-1 0 0,1 0 0,0 0 0,0 0 0,-1 1 0,1-1 0,-1 0 0,1 1 0,0-1 0,-1 0 0,1 1 0,-1-1 0,1 1 0,-1-1 0,1 1 0,-1-1 0,1 1 0,0 0 0,0 1 0,-1 1 0,1-1 0,-1 0 0,0 0 0,0 0 0,1 1 0,-1-1 0,-1 0 0,1 0 0,0 0 0,-1 1 0,1-1 0,-2 4 0,-3 8 0,0 0 0,-2 0 0,1-1 0,-18 25 0,17-28 0,0 1 0,0 1 0,1-1 0,1 1 0,0 0 0,-6 21 0,11-31 4,-1-1-1,1 1 1,0 0-1,0-1 0,0 1 1,0 0-1,0 0 1,0-1-1,0 1 0,0 0 1,1-1-1,-1 1 1,1 0-1,-1-1 1,1 1-1,-1 0 0,1-1 1,0 1-1,0-1 1,0 0-1,0 1 1,0-1-1,0 0 0,1 1 1,-1-1-1,0 0 1,0 0-1,1 0 0,-1 0 1,1 0-1,-1 0 1,1-1-1,0 1 1,1 0-1,5 2-251,0-2 1,0 1-1,0-1 1,0 0-1,15 0 1,1-2-6579</inkml:trace>
  <inkml:trace contextRef="#ctx0" brushRef="#br0" timeOffset="2366.65">2914 190 24575,'-10'-5'0,"1"1"0,0 1 0,-1 0 0,0 0 0,0 0 0,1 1 0,-1 1 0,-1 0 0,1 0 0,0 1 0,0 0 0,0 1 0,0 0 0,0 1 0,-11 2 0,16-2 0,-1 0 0,1 0 0,-1 0 0,1 1 0,0 0 0,0 0 0,0 0 0,1 0 0,-1 1 0,1 0 0,0 0 0,0 0 0,0 1 0,0-1 0,1 1 0,0 0 0,0 0 0,0 0 0,0 0 0,1 0 0,0 1 0,0-1 0,1 1 0,-1-1 0,1 1 0,0 0 0,0 6 0,0-1 0,-1 9 0,1 1 0,0-1 0,1 0 0,1 0 0,1 1 0,7 27 0,-8-44 0,1 0 0,1 0 0,-1 0 0,0 0 0,1-1 0,0 1 0,0-1 0,0 0 0,0 1 0,0-1 0,1-1 0,0 1 0,-1 0 0,1-1 0,0 0 0,0 0 0,0 0 0,0-1 0,1 1 0,-1-1 0,0 0 0,1 0 0,-1 0 0,1-1 0,-1 1 0,1-1 0,-1 0 0,0-1 0,8 0 0,5-1 0,0-1 0,0 0 0,-1-1 0,1-1 0,-1-1 0,22-10 0,-23 7 0,-1-1 0,0 0 0,-1-1 0,0 0 0,-1-1 0,0-1 0,-1 0 0,0 0 0,-1-1 0,9-17 0,-11 19 0,-2 0 0,0-1 0,-1 1 0,0-1 0,0 0 0,-2 0 0,1-1 0,0-14 0,-1 3 0,-1 0 0,-2 1 0,-3-41 0,2 62 0,1 0 0,-1-1 0,0 1 0,0 0 0,0 0 0,0 0 0,-1 1 0,1-1 0,-1 0 0,1 0 0,-1 1 0,0-1 0,0 1 0,-1 0 0,1-1 0,0 1 0,-4-2 0,0 0 0,0 0 0,0 1 0,-1-1 0,1 2 0,-1-1 0,0 1 0,-12-3 0,9 3 0,0 0 0,-1 1 0,1 0 0,-1 1 0,1 0 0,0 1 0,-1 0 0,1 1 0,0 0 0,-20 6 0,17 0 0,-1 1 0,1 1 0,1 0 0,-1 1 0,2 0 0,0 1 0,0 0 0,-15 23 0,20-24 0,-1 1 0,2 0 0,-1 1 0,2-1 0,-1 1 0,2 0 0,0 1 0,-2 17 0,2-5 0,2 0 0,0 0 0,4 35 0,-3-56-124,1 0 0,0 0 0,0 0 0,0 0 0,1 0 0,0 0-1,0-1 1,0 1 0,0-1 0,5 7 0,4 1-6702</inkml:trace>
  <inkml:trace contextRef="#ctx0" brushRef="#br0" timeOffset="2801.76">2861 534 24575,'-4'1'0,"1"-1"0,0 1 0,-1 1 0,1-1 0,0 0 0,0 1 0,0 0 0,0-1 0,0 1 0,0 0 0,1 1 0,-1-1 0,1 0 0,-1 1 0,1 0 0,-4 5 0,-30 48 0,32-45 0,0 0 0,0 0 0,1 1 0,0-1 0,1 1 0,1-1 0,-1 21 0,2 3 0,5 44 0,-4-76 0,-1-1 0,0 1 0,0-1 0,1 1 0,-1-1 0,1 0 0,0 1 0,0-1 0,0 0 0,0 1 0,0-1 0,0 0 0,1 0 0,-1 0 0,1 0 0,-1 0 0,1 0 0,0-1 0,0 1 0,0 0 0,0-1 0,0 1 0,0-1 0,0 0 0,0 0 0,0 0 0,1 0 0,-1 0 0,1 0 0,-1-1 0,0 1 0,1-1 0,-1 0 0,1 1 0,-1-1 0,1 0 0,-1-1 0,1 1 0,-1 0 0,3-1 0,3-1 0,0 0 0,0 0 0,0 0 0,-1-1 0,1 0 0,-1-1 0,0 0 0,0 0 0,0 0 0,0-1 0,7-6 0,17-18 0,-2-1 0,-1-1 0,45-66 0,22-39 0,-67 94 0,-18 27 0,0 0 0,11-24 0,-19 35 0,0 0 0,-1 0 0,1 0 0,-1 0 0,0-1 0,-1 1 0,1 0 0,-1-1 0,1 1 0,-1-1 0,-1 1 0,1 0 0,-1-1 0,1 1 0,-2-5 0,0 6 0,1 1 0,-1-1 0,0 0 0,0 1 0,0-1 0,0 1 0,-1 0 0,1 0 0,0 0 0,-1 0 0,0 0 0,1 0 0,-1 1 0,0-1 0,0 1 0,0 0 0,0 0 0,0 0 0,0 0 0,0 1 0,0-1 0,0 1 0,-1-1 0,1 1 0,0 0 0,-6 1 0,-5 0 0,-1 0 0,1 0 0,0 2 0,-23 6 0,9 2 0,2 1 0,-1 2 0,1 1 0,1 0 0,-27 24 0,49-37 0,-11 10-1365,3-1-5461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48:05.0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1 261 24575,'34'2'0,"0"2"0,0 1 0,38 11 0,-35-7 0,1-2 0,46 3 0,88-8-180,-83-3-38,129 16 0,-104-5-285,207-7 0,-154-6 268,76 5 235,257-5 0,-352-9 0,39-2 0,-103 9-923,160-33-1,-22 2-103,-4-2 1027,-115 18 0,161-53-22,-108 26 11,-77 16 895,-40 14-1466,-22 10-3147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0:09.86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400 399 24575,'-103'-2'0,"-113"5"0,212-3 0,1 0 0,-1 0 0,1 1 0,0 0 0,-1-1 0,1 1 0,0 0 0,-1 1 0,1-1 0,0 1 0,0-1 0,0 1 0,0 0 0,0 0 0,1 0 0,-1 0 0,1 1 0,-1-1 0,1 1 0,0 0 0,0-1 0,0 1 0,0 0 0,0 0 0,1 0 0,-1 1 0,1-1 0,-2 6 0,2-1 0,0-1 0,1 1 0,0 0 0,0-1 0,0 1 0,1 0 0,0 0 0,0-1 0,1 1 0,0-1 0,7 15 0,-7-18 0,0 1 0,0-1 0,1 0 0,0 0 0,0 0 0,0 0 0,0 0 0,1 0 0,0-1 0,-1 0 0,1 0 0,0 0 0,7 3 0,4 2 0,0-1 0,28 8 0,-30-11 0,1 1 0,-1 0 0,0 1 0,13 8 0,-6-3 0,0-1 0,0 0 0,1-2 0,1-1 0,-1 0 0,29 4 0,14 5 0,-62-16 0,0 1 0,1-1 0,-1 1 0,0 0 0,0 0 0,0 0 0,1 0 0,-1 0 0,0 0 0,0 1 0,-1-1 0,1 0 0,0 1 0,0 0 0,-1-1 0,1 1 0,-1 0 0,1 0 0,1 3 0,-3-3 0,1 0 0,-1-1 0,0 1 0,0 0 0,0 0 0,0 0 0,0 0 0,0-1 0,-1 1 0,1 0 0,0 0 0,-1 0 0,0-1 0,1 1 0,-1 0 0,0-1 0,0 1 0,0-1 0,-1 3 0,-4 3 0,0 1 0,-1-1 0,0 0 0,0-1 0,-1 0 0,1 0 0,-17 9 0,-4 0-195,0-1 0,-1-1 0,-1-1 0,0-2 0,0-1 0,-47 8 0</inkml:trace>
  <inkml:trace contextRef="#ctx0" brushRef="#br0" timeOffset="332.78">955 135 24575,'-1'35'0,"2"0"0,1 0 0,12 55 0,13 43 0,-21-99-34,-2-1-1,-2 1 1,-3 62 0,0-39-1194,1-34-5598</inkml:trace>
  <inkml:trace contextRef="#ctx0" brushRef="#br0" timeOffset="599.7">770 584 24575,'0'-1'0,"0"0"0,1-1 0,-1 1 0,1 0 0,0 0 0,-1 0 0,1 0 0,0 0 0,0 0 0,0 0 0,0 0 0,-1 0 0,1 1 0,0-1 0,1 0 0,-1 0 0,0 1 0,0-1 0,0 1 0,0-1 0,0 1 0,1 0 0,-1-1 0,0 1 0,0 0 0,1 0 0,1 0 0,40-5 0,-38 4 0,35-1 0,-8 1 0,0-2 0,38-7 0,-7 0 0,-50 9 0,1 0 0,0-1 0,-1-1 0,0 0 0,0-1 0,19-8 0,-14 4 0,0 2 0,0 0 0,1 1 0,0 1 0,37-3 0,6-2 0,-31 5-682,44-2-1,-52 6-6143</inkml:trace>
  <inkml:trace contextRef="#ctx0" brushRef="#br0" timeOffset="1128.84">1670 743 24575,'28'0'0,"0"-1"0,-1-1 0,32-8 0,-46 7 0,0 0 0,0-2 0,-1 1 0,1-2 0,-1 1 0,-1-2 0,1 0 0,18-14 0,0-1 0,-18 15 0,0-1 0,-1-1 0,0 0 0,-1-1 0,17-18 0,-26 27 0,0-1 0,1 0 0,-1 0 0,0 0 0,-1 0 0,1 0 0,0 0 0,0 0 0,-1 0 0,1 0 0,-1 0 0,0 0 0,0-1 0,1 1 0,-1 0 0,-1 0 0,1-4 0,-1 3 0,-1 0 0,1 0 0,-1 1 0,1-1 0,-1 0 0,0 1 0,0-1 0,0 1 0,0 0 0,0 0 0,0-1 0,-1 2 0,1-1 0,-1 0 0,-5-3 0,-1 1 0,0 0 0,0 1 0,0 0 0,-1 0 0,1 1 0,-1 0 0,1 1 0,-1 0 0,0 1 0,-13 0 0,6 1 0,1 0 0,0 2 0,0-1 0,1 2 0,-25 8 0,25-6 0,0 1 0,0 1 0,0 0 0,1 1 0,0 1 0,1 0 0,0 0 0,0 2 0,2-1 0,-12 14 0,15-14 0,0 0 0,1 1 0,0 0 0,1 0 0,0 0 0,1 1 0,1 0 0,0 0 0,0 0 0,2 0 0,-1 0 0,0 24 0,3-36 0,-1 12 0,1 1 0,0-1 0,0 0 0,2 0 0,4 23 0,-4-32 0,-1-1 0,0 0 0,1 1 0,0-1 0,-1 0 0,1 0 0,1 0 0,-1 0 0,0-1 0,1 1 0,-1-1 0,1 1 0,0-1 0,0 0 0,0 0 0,0 0 0,0 0 0,0-1 0,0 1 0,1-1 0,-1 0 0,1 0 0,-1 0 0,1 0 0,-1-1 0,5 1 0,44 3 0,2-2 0,104-11 0,-73-11-1365,-66 16-5461</inkml:trace>
  <inkml:trace contextRef="#ctx0" brushRef="#br0" timeOffset="1722.25">2411 770 24575,'2'121'0,"-5"129"0,3-248 0,0 0 0,0 0 0,0-1 0,0 1 0,-1 0 0,1 0 0,0 0 0,-1-1 0,0 1 0,1 0 0,-1-1 0,0 1 0,0 0 0,1-1 0,-2 1 0,1-1 0,0 1 0,0-1 0,-2 2 0,2-3 0,0 0 0,0 1 0,0-1 0,0 0 0,0 0 0,0 0 0,0 0 0,0 0 0,0-1 0,0 1 0,0 0 0,0 0 0,0-1 0,0 1 0,0-1 0,0 1 0,0-1 0,1 1 0,-1-1 0,0 1 0,0-1 0,0 0 0,1 1 0,-2-2 0,-7-8 0,0 0 0,0-1 0,-11-19 0,15 24 0,-7-13 0,0 1 0,1-2 0,1 1 0,0-1 0,2-1 0,0 1 0,2-2 0,0 1 0,1-1 0,1 1 0,2-1 0,-1-39 0,1-4 0,0 38 0,2-1 0,0 1 0,2 0 0,6-33 0,-5 53 0,-1 0 0,1 0 0,0 0 0,1 1 0,-1-1 0,1 1 0,0 0 0,1 0 0,0 0 0,10-9 0,5-3 0,39-26 0,-3 4 0,-47 33 0,0 1 0,1 0 0,0 1 0,0 0 0,0 1 0,0 0 0,1 1 0,-1 0 0,12-2 0,7 0 0,0 1 0,36 1 0,-62 2 0,0 1 0,0 0 0,1 0 0,-1 0 0,0 0 0,0 1 0,0-1 0,0 1 0,1 0 0,-1 0 0,0 0 0,0 0 0,-1 1 0,1-1 0,0 1 0,0-1 0,-1 1 0,1 0 0,-1 0 0,1 0 0,-1 1 0,0-1 0,0 1 0,0-1 0,0 1 0,0-1 0,-1 1 0,1 0 0,-1 0 0,0 0 0,1 0 0,-1 0 0,-1 0 0,1 0 0,0 0 0,-1 1 0,0-1 0,0 0 0,0 0 0,0 0 0,0 1 0,0-1 0,-1 0 0,0 0 0,0 0 0,1 0 0,-3 3 0,0 3 0,-1-1 0,0 1 0,0-1 0,-1 0 0,0-1 0,0 1 0,-1-1 0,0 0 0,0 0 0,-1-1 0,-9 8 0,-11 7 0,-52 28 0,43-27 0,4-5 28,24-13-307,0 0 1,0 1-1,0-1 1,-11 10-1,8-3-6547</inkml:trace>
  <inkml:trace contextRef="#ctx0" brushRef="#br0" timeOffset="2902.5">400 1458 24575,'383'16'-356,"-164"-3"-2669,112-14 2706,-124-1 615,-37-11-215,-11-1-223,450 14-486,-287 1 628,-90-17 0,-98 4 0,160-15-65,-139 7-877,-117 17-2149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0:48.63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78 24575,'0'-1'0,"0"0"0,1-1 0,-1 1 0,1 0 0,0 0 0,-1 0 0,1 0 0,0 0 0,0 0 0,-1 0 0,1 0 0,0 0 0,0 1 0,0-1 0,0 0 0,0 1 0,0-1 0,1 0 0,-1 1 0,0-1 0,0 1 0,0 0 0,0-1 0,1 1 0,-1 0 0,0 0 0,2 0 0,41-5 0,-39 4 0,132 2 0,21-3 0,-26-24 0,-91 15 0,-32 8 0,-1 0 0,1 1 0,-1 0 0,15-1 0,-23 3-25,0 0 1,1 0-1,-1 0 0,0 0 0,0 0 0,1 0 0,-1 0 1,0 0-1,0 0 0,0 0 0,1 0 0,-1 0 1,0 0-1,0 0 0,1 0 0,-1 0 0,0 0 0,0 0 1,1 0-1,-1 0 0,0 0 0,0 1 0,0-1 0,1 0 1,-1 0-1,0 0 0,0 0 0,0 0 0,1 1 1,-1-1-1,0 0 0,0 0 0,0 0 0,0 0 0,0 1 1,0-1-1,1 0 0,-1 0 0,0 1 0,0-1 0,0 0 1,0 0-1,0 0 0,0 1 0,0-1 0,0 0 1,0 0-1,0 1 0,0-1 0,0 0 0,0 0 0,0 1 1,0-1-1,0 0 0</inkml:trace>
  <inkml:trace contextRef="#ctx0" brushRef="#br0" timeOffset="626.03">133 52 24575,'-1'8'0,"0"1"0,0-1 0,-1 1 0,-5 14 0,-5 25 0,9-21 0,-13 90 0,10-85 0,2 0 0,1 0 0,1 0 0,2 0 0,5 35 0,-5-64 0,1 0 0,0 0 0,-1-1 0,1 1 0,0 0 0,1 0 0,-1-1 0,0 1 0,1-1 0,-1 1 0,1-1 0,0 0 0,0 1 0,0-1 0,0 0 0,0 0 0,0-1 0,1 1 0,-1 0 0,1-1 0,-1 1 0,1-1 0,0 0 0,-1 0 0,1 0 0,0 0 0,0 0 0,0-1 0,-1 1 0,6-1 0,11 2 0,1-1 0,-1-1 0,33-4 0,-15 1 0,10 2 0,171 2 0,-204 1 0,0 0 0,0 1 0,0 1 0,0 1 0,-1 0 0,1 0 0,-1 1 0,-1 1 0,22 14 0,-30-18 0,0 0 0,0 0 0,1 0 0,-2 1 0,1-1 0,0 1 0,-1 0 0,0 0 0,0 0 0,0 1 0,0-1 0,0 1 0,-1-1 0,0 1 0,0 0 0,-1 0 0,1 0 0,-1 0 0,0 0 0,0 0 0,-1 0 0,1 1 0,-1-1 0,0 0 0,-1 0 0,1 0 0,-1 1 0,0-1 0,-3 9 0,2-12 0,1 1 0,-1 0 0,0-1 0,0 0 0,0 1 0,0-1 0,0 0 0,0 0 0,-1 0 0,1 0 0,-1 0 0,1-1 0,-1 1 0,0-1 0,0 0 0,0 0 0,0 0 0,1 0 0,-1 0 0,0-1 0,0 1 0,-6 0 0,-9 0 0,0 0 0,-31-3 0,26 0 0,-441-1 0,458 3 0,2-1 0,1 1 0,0 0 0,-1 0 0,1 0 0,-1 1 0,1-1 0,0 1 0,0-1 0,-1 1 0,1 0 0,0 0 0,0 1 0,-6 2 0,9-3 0,0-1 0,0 1 0,0-1 0,-1 1 0,1-1 0,0 1 0,0 0 0,0-1 0,0 1 0,0-1 0,0 1 0,0-1 0,1 1 0,-1 0 0,0-1 0,0 1 0,0-1 0,0 1 0,1-1 0,-1 1 0,0-1 0,1 1 0,-1-1 0,0 1 0,1-1 0,-1 1 0,0-1 0,1 0 0,-1 1 0,1-1 0,-1 0 0,1 1 0,-1-1 0,1 0 0,-1 0 0,1 1 0,0-1 0,23 14 0,-22-14 0,55 27-1365,-38-21-5461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0:51.8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551 218 24575,'-20'0'0,"-18"-1"0,1 2 0,0 2 0,-54 10 0,60-7 0,0 1 0,1 2 0,0 1 0,0 1 0,1 2 0,0 0 0,2 3 0,-32 21 0,57-36 0,0 0 0,-1 1 0,1-1 0,0 1 0,1 0 0,-1-1 0,0 1 0,0 0 0,1 0 0,-1 0 0,1 0 0,-1 0 0,1 1 0,0-1 0,0 0 0,0 1 0,0-1 0,1 1 0,-1-1 0,1 1 0,-1-1 0,1 1 0,0-1 0,0 1 0,0-1 0,0 1 0,0-1 0,1 1 0,-1-1 0,1 1 0,0-1 0,1 4 0,0-2 0,1 0 0,0 0 0,1-1 0,-1 1 0,1 0 0,-1-1 0,1 0 0,0 0 0,0 0 0,0-1 0,1 1 0,-1-1 0,1 0 0,-1 0 0,8 2 0,58 15 0,-34-10 0,63 26 0,-63-21 0,0-2 0,42 9 0,-3-2 0,-73-18 0,0-1 0,1 1 0,-1-1 0,0 1 0,0 0 0,0-1 0,0 1 0,0 0 0,0 0 0,0 1 0,0-1 0,-1 0 0,1 1 0,0-1 0,-1 1 0,1-1 0,-1 1 0,1 0 0,-1 0 0,0-1 0,0 1 0,0 0 0,0 0 0,0 0 0,0 1 0,0-1 0,-1 0 0,1 0 0,-1 0 0,0 0 0,0 1 0,1-1 0,-1 0 0,0 0 0,-1 0 0,1 1 0,-1 2 0,-1-1 0,1 1 0,-1-1 0,0 1 0,-1-1 0,1 0 0,-1 0 0,0 0 0,0 0 0,0 0 0,0-1 0,-1 0 0,1 1 0,-1-1 0,0 0 0,0-1 0,-5 3 0,-15 8 0,-9 5 0,-1-1 0,-40 13 0,72-30 4,1 1 0,-1 0 0,1 0 0,-1-1 0,0 1 0,0-1 0,1 0 0,-1 1 0,0-1 0,0 0 0,1 0 0,-1 0 0,0 0 0,0 0 0,1-1 0,-1 1 0,0 0 0,0-1 0,1 1 0,-1-1 0,1 0 0,-1 0 0,0 1 0,1-1 0,-1 0 0,1 0 0,0-1 0,-1 1 0,0-1 0,1-1-69,0 1 1,1 0-1,-1 0 1,1-1-1,0 1 1,-1 0-1,1 0 0,0-1 1,1 1-1,-1 0 1,0-1-1,1 1 1,-1 0-1,1 0 1,0 0-1,-1-1 0,1 1 1,0 0-1,0 0 1,1 0-1,-1 0 1,2-1-1,6-12-6761</inkml:trace>
  <inkml:trace contextRef="#ctx0" brushRef="#br0" timeOffset="346.13">683 32 24575,'1'1'0,"1"-1"0,0 1 0,-1 0 0,1 0 0,0 0 0,-1 0 0,0 0 0,1 0 0,-1 1 0,1-1 0,-1 0 0,0 1 0,0-1 0,0 1 0,0-1 0,0 1 0,1 3 0,15 31 0,2 48 0,-10-33 0,44 187-1365,-48-220-5461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0:58.44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100 292 24575,'16'1'0,"1"-2"0,-1 1 0,1-2 0,-1 0 0,1-1 0,-1-1 0,0 0 0,26-12 0,70-28 63,-64 26-777,60-31 0,-93 41-6112</inkml:trace>
  <inkml:trace contextRef="#ctx0" brushRef="#br0" timeOffset="723.48">841 451 24575,'27'-2'0,"1"-1"0,-1-1 0,0-1 0,0-2 0,0-1 0,46-20 0,32-25 0,-87 45 0,0 0 0,-1-2 0,-1 0 0,0-1 0,0 0 0,-1-2 0,0 0 0,22-26 0,-36 38 0,0 0 0,0 0 0,0 0 0,0-1 0,0 1 0,-1 0 0,1-1 0,0 1 0,-1 0 0,1-1 0,-1 1 0,1-1 0,-1 1 0,0-1 0,1 1 0,-1-1 0,0 1 0,0-1 0,0 0 0,-1 1 0,1-1 0,0 1 0,0-1 0,-2-2 0,1 3 0,0-1 0,-1 1 0,1-1 0,-1 1 0,1 0 0,-1 0 0,1 0 0,-1 0 0,0 0 0,0 0 0,1 0 0,-1 1 0,0-1 0,0 0 0,0 1 0,-3-1 0,-4 0 0,0 0 0,0 1 0,0 0 0,0 0 0,0 1 0,0 0 0,-13 4 0,10 0 0,-1 1 0,1 1 0,1-1 0,-1 2 0,1 0 0,0 0 0,1 1 0,0 0 0,1 1 0,0 0 0,-16 23 0,22-28 0,0 1 0,0 0 0,0-1 0,1 1 0,0 0 0,0 1 0,0-1 0,1 0 0,0 0 0,0 1 0,1-1 0,-1 0 0,1 1 0,1-1 0,-1 0 0,1 1 0,0-1 0,1 0 0,3 10 0,-2-8 0,0-1 0,1 1 0,0 0 0,0-1 0,1 0 0,0 0 0,0 0 0,0-1 0,1 0 0,0 0 0,1 0 0,-1-1 0,1 0 0,8 5 0,3 0 0,-2 1 0,0-1 0,1 0 0,1-2 0,-1 0 0,1-1 0,1-1 0,-1 0 0,1-2 0,34 5 0,-38-8 20,1-1 0,-1 0 0,1-1 0,-1 0 0,17-4 0,-25 3-113,-2 0 0,1-1 1,0 0-1,0 0 0,-1 0 0,0 0 0,1-1 0,-1 0 1,-1 0-1,1 0 0,0-1 0,-1 1 0,0-1 1,0 0-1,4-7 0,0-2-6733</inkml:trace>
  <inkml:trace contextRef="#ctx0" brushRef="#br0" timeOffset="1345.59">1661 318 24575,'2'18'0,"0"-1"0,2 1 0,0-1 0,2 0 0,8 21 0,-3-6 0,-3-13 0,0-1 0,14 24 0,-13-27 0,-1 0 0,0 1 0,9 30 0,17 68 0,-90-186 0,40 45 0,2 0 0,1 0 0,1-2 0,1 1 0,1-1 0,2-1 0,1 0 0,1 0 0,2 0 0,1-1 0,2 0 0,0 1 0,6-41 0,-4 64 0,0 0 0,1 0 0,0 0 0,1 0 0,0 0 0,0 0 0,0 1 0,1-1 0,0 1 0,0 0 0,0 0 0,1 1 0,0-1 0,0 1 0,0 0 0,1 0 0,9-6 0,-7 5 0,1 1 0,-1 1 0,1-1 0,0 1 0,0 1 0,0-1 0,0 2 0,1-1 0,-1 1 0,1 1 0,-1-1 0,18 1 0,-24 1 0,-1 0 0,0 0 0,0 1 0,1-1 0,-1 0 0,0 1 0,0-1 0,0 1 0,1 0 0,-1 0 0,0-1 0,0 2 0,0-1 0,0 0 0,-1 0 0,1 1 0,0-1 0,0 1 0,1 1 0,-2-2 0,0 1 0,-1 0 0,1 0 0,0-1 0,-1 1 0,1 0 0,-1 0 0,0 0 0,0-1 0,1 1 0,-1 0 0,0 0 0,-1 0 0,1 0 0,0 0 0,0-1 0,-1 1 0,0 2 0,-2 4 0,0-1 0,-1 1 0,0-1 0,0 0 0,0 0 0,-1 0 0,0-1 0,-11 11 0,-34 42-1365,39-46-5461</inkml:trace>
  <inkml:trace contextRef="#ctx0" brushRef="#br0" timeOffset="2156.18">2798 1 24575,'-10'0'0,"1"0"0,-1 1 0,1 0 0,-1 0 0,1 1 0,0 1 0,0-1 0,0 2 0,0-1 0,0 1 0,1 0 0,-1 1 0,1 0 0,1 0 0,-1 1 0,1 0 0,-1 0 0,2 1 0,-12 13 0,16-18 0,-25 27 0,-41 55 0,58-67 0,1 0 0,0 0 0,2 0 0,0 1 0,1 0 0,1 0 0,0 1 0,2-1 0,-2 21 0,1 8 0,3 1 0,7 69 0,-5-111 0,-1 0 0,1 0 0,0 0 0,1 0 0,-1 0 0,1-1 0,0 1 0,0-1 0,1 1 0,0-1 0,0 0 0,0 0 0,1 0 0,-1 0 0,1 0 0,1-1 0,4 5 0,-3-5 0,1 0 0,-1 0 0,1-1 0,0 0 0,0 0 0,0 0 0,1-1 0,-1 0 0,1 0 0,-1-1 0,1 0 0,-1 0 0,9-1 0,-6 0 0,-1 0 0,1 0 0,-1-1 0,0 0 0,1 0 0,-1-1 0,14-5 0,-20 5 0,0 1 0,0-1 0,0 0 0,0 0 0,-1 0 0,1 0 0,0 0 0,-1-1 0,0 1 0,1-1 0,-1 0 0,0 1 0,0-1 0,-1 0 0,1 0 0,-1 0 0,1-1 0,-1 1 0,0 0 0,0 0 0,0-1 0,-1 1 0,1-7 0,0 1 0,0 0 0,0 0 0,-1 0 0,-1 0 0,1-1 0,-1 1 0,-1 0 0,0 0 0,0 1 0,-4-11 0,3 14 0,0-1 0,0 1 0,-1 0 0,1 0 0,-1 0 0,-1 1 0,1-1 0,-1 1 0,1 0 0,-1 0 0,0 0 0,0 1 0,-1 0 0,1 0 0,-10-3 0,-1-1 0,-1 0 0,0 2 0,0 0 0,0 1 0,-1 1 0,1 0 0,-1 1 0,0 1 0,0 1 0,1 1 0,-1 0 0,-27 6 0,41-6-72,-1 1 1,1 0-1,-1 0 0,1 0 0,0 1 0,0-1 0,0 1 0,0 0 1,0 0-1,1 1 0,0-1 0,-1 1 0,1-1 0,0 1 0,1 0 1,-1 0-1,1 1 0,-3 4 0,-2 6-6754</inkml:trace>
  <inkml:trace contextRef="#ctx0" brushRef="#br0" timeOffset="2855.82">179 1403 24575,'-11'1'0,"1"0"0,0 0 0,0 2 0,-17 4 0,22-4 0,-1-1 0,0 0 0,0-1 0,0 1 0,0-1 0,0 0 0,0-1 0,0 1 0,0-1 0,0 0 0,0-1 0,-1 0 0,1 0 0,0 0 0,-10-4 0,11-1 0,16 1 0,17 0 0,166-24 0,-55 2 0,-13 2 0,190-44 0,-66 11 0,21-11 0,-252 64 0,51-13-76,-42 12-139,0-2 0,0 0 0,-1-2 1,-1 0-1,36-21 0,-45 20-6611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2:12.01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334 347 24575,'-19'1'0,"1"0"0,1 2 0,-1 0 0,0 1 0,1 1 0,-1 0 0,1 1 0,1 1 0,-28 16 0,18-11 0,13-5 0,0-1 0,0 1 0,-12 10 0,22-14 0,-2 0 0,0 1 0,1-1 0,-1 2 0,1-1 0,0 0 0,-4 6 0,8-9 0,-1 0 0,1 0 0,0 0 0,-1 0 0,1 0 0,0 0 0,-1 0 0,1 0 0,0 0 0,0 0 0,0 0 0,0 0 0,0 0 0,0 0 0,0 0 0,0 0 0,0 0 0,1 0 0,-1 0 0,0 0 0,1 0 0,-1 0 0,1 0 0,-1 0 0,1 0 0,-1 0 0,1 0 0,0 0 0,-1 0 0,1-1 0,0 1 0,0 0 0,-1-1 0,1 1 0,0 0 0,0-1 0,0 1 0,0-1 0,0 1 0,1 0 0,36 19 0,-24-13 0,-1 0 0,1 1 0,-2 0 0,1 1 0,13 14 0,-23-20 0,0 0 0,0 1 0,0-1 0,-1 1 0,0 0 0,0 0 0,0 0 0,0 0 0,0 0 0,-1 0 0,0 0 0,0 0 0,0 1 0,0-1 0,-1 1 0,1-1 0,-1 0 0,0 1 0,-1-1 0,1 1 0,-1-1 0,-2 8 0,1-5-42,-1 0-1,0 0 1,-1 0-1,1-1 0,-1 1 1,0-1-1,-1 0 1,0-1-1,-7 8 0,2-2-896,-1 2-5887</inkml:trace>
  <inkml:trace contextRef="#ctx0" brushRef="#br0" timeOffset="421.21">572 82 24575,'1'0'0,"0"1"0,1-1 0,-1 1 0,0 0 0,1 0 0,-1-1 0,0 1 0,0 0 0,1 0 0,-1 0 0,0 0 0,0 0 0,0 0 0,0 1 0,-1-1 0,1 0 0,0 0 0,0 2 0,16 30 0,-13-26 0,11 27 0,-2 0 0,-2 0 0,11 53 0,17 53 0,-33-120 0,0 0 0,-2 0 0,3 29 0,3 21 0,16 34-1365,-21-86-5461</inkml:trace>
  <inkml:trace contextRef="#ctx0" brushRef="#br0" timeOffset="798.32">598 558 24575,'0'-2'0,"1"1"0,-1 0 0,1-1 0,-1 1 0,1 0 0,0-1 0,0 1 0,0 0 0,0 0 0,0 0 0,0 0 0,0 0 0,0 0 0,0 0 0,0 0 0,1 0 0,-1 1 0,2-2 0,30-15 0,-26 13 0,69-39 0,-43 23 0,39-17 0,36-6 0,72-35 0,-178 77-118,-2 1 91,1-1-1,-1 1 0,0 0 0,0 0 1,0 0-1,0-1 0,1 1 1,-1 0-1,0 0 0,0 0 0,0 0 1,1-1-1,-1 1 0,0 0 1,0 0-1,1 0 0,-1 0 0,0 0 1,0 0-1,1 0 0,-1 0 0,0 0 1,0 0-1,1 0 0,-1 0 1,0 0-1,0 0 0,1 0 0,-1 0 1,0 0-1,0 0 0,1 0 1,-1 0-1,0 0 0,0 1 0,1-1 1,-1 0-1,0 0 0,0 0 1,0 0-1,1 0 0,-1 1 0,0-1 1,0 0-1,0 6-6798</inkml:trace>
  <inkml:trace contextRef="#ctx0" brushRef="#br0" timeOffset="1361.63">1022 479 24575,'13'-2'0,"0"-1"0,0 0 0,-1-1 0,1 0 0,-1-1 0,0 0 0,0-1 0,17-11 0,10-4 0,-26 14 0,-1 0 0,1-1 0,-1 0 0,0-1 0,-1-1 0,0 0 0,-1 0 0,0-1 0,0 0 0,-1-1 0,7-12 0,-15 22 0,0 1 0,0-1 0,0 1 0,0-1 0,-1 0 0,1 1 0,-1-1 0,1 0 0,-1 1 0,0-1 0,1 0 0,-1 0 0,0 1 0,0-1 0,0 0 0,0 1 0,-1-1 0,1 0 0,0 0 0,-1 1 0,1-1 0,-1 0 0,-1-2 0,1 3 0,-1 1 0,1-1 0,0 0 0,-1 1 0,1-1 0,-1 1 0,1-1 0,-1 1 0,1 0 0,-1 0 0,0 0 0,1-1 0,-1 1 0,1 1 0,-1-1 0,1 0 0,-1 0 0,1 1 0,-1-1 0,-1 1 0,-9 3 0,0 0 0,0 1 0,0 1 0,1 0 0,-12 8 0,13-8 0,1 1 0,0 0 0,1 1 0,0 0 0,0 0 0,0 1 0,1 0 0,0 0 0,1 0 0,0 1 0,1 0 0,0 1 0,0-1 0,1 1 0,0 0 0,1 0 0,0 0 0,1 0 0,1 0 0,-1 1 0,2-1 0,-1 1 0,2-1 0,1 12 0,-2-20 0,0-1 0,0 1 0,1-1 0,-1 1 0,1-1 0,0 1 0,-1-1 0,1 0 0,0 1 0,0-1 0,1 0 0,-1 0 0,0 1 0,1-1 0,-1 0 0,1 0 0,0-1 0,0 1 0,0 0 0,0-1 0,0 1 0,0-1 0,2 2 0,0-2 0,1 1 0,-1-1 0,0 0 0,0-1 0,1 1 0,-1-1 0,1 0 0,-1 0 0,0 0 0,1-1 0,-1 1 0,6-3 0,8-2 0,1-1 0,-1-1 0,-1 0 0,33-21 0,49-32 0,-26 28-1365,-57 26-5461</inkml:trace>
  <inkml:trace contextRef="#ctx0" brushRef="#br0" timeOffset="1986.69">1551 426 24575,'1'5'0,"0"-1"0,0 1 0,1 0 0,0-1 0,0 1 0,0-1 0,1 0 0,4 7 0,6 10 0,1 13 0,15 55 0,-19-56 0,1 0 0,18 38 0,2-5 0,-21-41 0,2 0 0,0-1 0,21 30 0,36 55 0,-3-4 0,-46-74 0,-1 1 0,26 61 0,8 15 0,-47-149 0,-10 21 0,-1-1 0,-1 2 0,0-1 0,-17-33 0,2 3 0,-22-52 0,19 48 0,-22-75 0,35 86 0,2-1 0,3 0 0,1-1 0,0-60 0,4 85 0,0 1 0,-10-38 0,7 36 0,0-1 0,-1-24 0,3 6 0,0 14 0,1 0 0,2-1 0,0 1 0,7-36 0,-3 50 0,1 0 0,0 1 0,0-1 0,1 1 0,1 1 0,0 0 0,0 0 0,1 0 0,13-12 0,18-19 0,-24 19 0,-10 14 0,-1 0 0,1 0 0,1 1 0,-1 0 0,1 0 0,13-9 0,-20 16 0,0 0 0,0 0 0,0 0 0,0 0 0,0 1 0,0-1 0,0 0 0,0 0 0,0 0 0,0 0 0,0 0 0,0 0 0,0 0 0,0 0 0,0 1 0,0-1 0,0 0 0,0 0 0,0 0 0,0 0 0,0 0 0,0 0 0,0 0 0,0 0 0,0 0 0,0 1 0,0-1 0,0 0 0,0 0 0,0 0 0,0 0 0,0 0 0,1 0 0,-1 0 0,0 0 0,0 0 0,0 0 0,0 0 0,0 0 0,0 0 0,0 1 0,0-1 0,0 0 0,0 0 0,1 0 0,-1 0 0,0 0 0,0 0 0,0 0 0,0 0 0,0 0 0,0 0 0,0 0 0,0 0 0,1 0 0,-1 0 0,0 0 0,0 0 0,0 0 0,0 0 0,0 0 0,0-1 0,0 1 0,0 0 0,0 0 0,1 0 0,-8 14 0,-9 13 0,-90 98 0,11-16 0,86-96-227,0 1-1,1 0 1,1 0-1,0 0 1,-7 21-1,9-16-6598</inkml:trace>
  <inkml:trace contextRef="#ctx0" brushRef="#br0" timeOffset="2662.42">1630 1590 24575,'1'15'0,"1"1"0,1-1 0,0 0 0,1 0 0,1 0 0,0-1 0,14 28 0,-9-21 0,-1 1 0,8 29 0,54 221 0,-55-168 0,-6-32 0,-4-24-266,-2-1 0,-4 69-1,0-99-299,0-5-6260</inkml:trace>
  <inkml:trace contextRef="#ctx0" brushRef="#br0" timeOffset="3179.56">1736 1590 24575,'-2'4'0,"1"0"0,-1 0 0,0 0 0,0 0 0,0 0 0,0-1 0,-1 1 0,0-1 0,-5 7 0,-6 8 0,-49 78 0,-19 33 0,-52 91 0,124-205 0,8-11 0,-1-1 0,1 1 0,-1 0 0,1-1 0,1 1 0,-1 0 0,-2 8 0,4-11 0,0 0 0,0 0 0,1 0 0,-1 0 0,0 0 0,0 0 0,1 0 0,-1 0 0,1 0 0,-1 0 0,1 0 0,-1 0 0,1 0 0,0 0 0,-1-1 0,1 1 0,0 0 0,-1 0 0,1-1 0,0 1 0,0 0 0,0-1 0,0 1 0,0-1 0,0 1 0,0-1 0,0 0 0,0 1 0,0-1 0,0 0 0,0 0 0,0 1 0,0-1 0,0 0 0,0 0 0,0 0 0,2-1 0,41 5 0,-1-3 0,85-8 0,30-18 0,-138 21-195,0 0 0,-1-1 0,0 0 0,0-2 0,0 0 0,24-14 0,-30 11-6631</inkml:trace>
  <inkml:trace contextRef="#ctx0" brushRef="#br0" timeOffset="4111.17">731 3522 24575,'102'2'0,"114"-5"0,-145-10 0,-52 9 0,0 0 0,30-2 0,-2 1 0,-1-1 0,-1-3 0,1-2 0,51-20 0,-33 11 0,25-12 0,-52 18 0,49-13 0,-54 18 0,-1-2 0,0-2 0,41-22 0,38-15 0,-58 27 0,-1-1 0,-2-2 0,0-3 0,-2-2 0,59-48 0,-75 51 0,-1-2 0,-1 0 0,-2-2 0,-1-1 0,28-48 0,-41 62-1365,-1 4-5461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3:12.52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352 1 24575,'5'0'0,"0"1"0,1-1 0,-1 1 0,0 1 0,1-1 0,-1 1 0,0 0 0,0 0 0,0 0 0,0 0 0,-1 1 0,1 0 0,8 7 0,2 4 0,-1 0 0,19 24 0,5 5 0,-9-5 0,-26-31 0,2-1 0,-1 0 0,1 0 0,0 0 0,0 0 0,9 7 0,-1-3 0,-2 0 0,1 1 0,-1 0 0,-1 1 0,0 0 0,-1 1 0,0 0 0,-1 1 0,0-1 0,-1 1 0,-1 1 0,0-1 0,-1 1 0,-1 1 0,5 25 0,-2 16 0,-2 0 0,-2 0 0,-6 58 0,0-15 0,4-71 0,-2 0 0,-1 0 0,-12 53 0,-7 12 0,7-30 0,-32 94 0,23-107 0,-1 0 0,-3-2 0,-51 72 0,71-112-40,-1-1-1,-1 0 1,0-1-1,0 0 0,-19 12 1,10-8-1082,4-2-5704</inkml:trace>
  <inkml:trace contextRef="#ctx0" brushRef="#br0" timeOffset="1620.63">854 901 24575,'0'-1'0,"0"0"0,1-1 0,-1 1 0,1 0 0,0 0 0,-1 0 0,1 0 0,0 0 0,0 0 0,-1 0 0,1 0 0,0 0 0,0 0 0,0 1 0,0-1 0,0 0 0,0 0 0,1 1 0,-1-1 0,0 1 0,0-1 0,0 1 0,1 0 0,-1-1 0,0 1 0,0 0 0,3 0 0,39-5 0,-38 4 0,72-3 0,115 9 0,-173-1 0,1 0 0,-1 2 0,0 1 0,-1 0 0,0 1 0,0 1 0,28 18 0,32 15 0,-66-35 0,-1 0 0,0 1 0,0 0 0,-1 1 0,0 0 0,0 1 0,11 15 0,29 27 0,-26-32 0,-1 2 0,-2 0 0,0 1 0,-1 1 0,-1 1 0,18 32 0,-31-41 0,0 0 0,-1 0 0,5 31 0,-4-19 0,0 9 0,-2 0 0,-1 1 0,-2-1 0,-7 69 0,5-94 0,-1 0 0,0 0 0,-1 0 0,-1 0 0,1 0 0,-2 0 0,0-1 0,0 0 0,-1 0 0,0 0 0,-1-1 0,-16 19 0,-1-2 0,17-19 0,1 0 0,-1-1 0,-1 0 0,1 0 0,-1-1 0,-1 0 0,-10 7 0,-28 10 0,-94 31 0,10-26 0,102-23 0,-48 2 0,47-5 0,-47 9 0,29-4 0,1-2 0,-1-2 0,-89-5 0,30-1 0,23 1 0,-96 5 0,166-1 0,0 1 0,-1 1 0,1 0 0,-23 11 0,-29 8 0,50-19 0,-2 0 0,1 0 0,-30 13 0,43-15 0,0 0 0,0 0 0,0 0 0,0 1 0,0-1 0,1 1 0,-1 0 0,1 0 0,-1 1 0,1-1 0,0 1 0,1 0 0,-1-1 0,1 1 0,-4 7 0,-29 58-1365,26-55-5461</inkml:trace>
  <inkml:trace contextRef="#ctx0" brushRef="#br0" timeOffset="2230.66">114 2118 24575,'-1'10'0,"-1"-1"0,0 1 0,0 0 0,-1-1 0,0 0 0,0 0 0,-1 0 0,-6 11 0,0-3 0,0 0 0,-1 0 0,-15 16 0,25-32 0,-2 2 0,0 1 0,0-1 0,0 1 0,0-1 0,1 1 0,0 0 0,-4 7 0,6-10 0,0-1 0,0 1 0,0 0 0,0-1 0,0 1 0,0-1 0,0 1 0,0-1 0,0 1 0,0-1 0,0 1 0,0 0 0,1-1 0,-1 1 0,0-1 0,0 1 0,1-1 0,-1 1 0,0-1 0,1 1 0,-1-1 0,0 0 0,1 1 0,-1-1 0,1 1 0,25 7 0,26-4 36,93-5 0,-48-2-1473,-74 3-5389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4:10.18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3662 1 24575,'1'19'0,"1"0"0,8 38 0,-5-37 0,-1 1 0,1 27 0,-4-7 0,-1-10 0,1 0 0,2 0 0,7 33 0,-6-48 0,-1-1 0,0 1 0,-1 0 0,-1 24 0,-1-37 0,0 0 0,0 0 0,0 0 0,0 0 0,-1 0 0,0 0 0,1-1 0,-1 1 0,0 0 0,0 0 0,-1-1 0,1 1 0,0 0 0,-1-1 0,0 1 0,1-1 0,-1 0 0,0 1 0,0-1 0,-1 0 0,1 0 0,0-1 0,-1 1 0,1 0 0,-1-1 0,1 1 0,-1-1 0,0 0 0,1 0 0,-1 0 0,-3 0 0,-71 11 0,0-4 0,-116-2 0,-256-6 0,417 1 0,-56 11 0,56-6 0,-55 2 0,57-8 0,0 1 0,-1 1 0,-47 10 0,52-7 0,0-1 0,0-2 0,-41-1 0,39-2 0,0 2 0,-51 8 0,42-3 0,-1-2 0,-65-1 0,-10 1 0,41 9 0,53-9 0,0 0 0,-30 2 0,-41-6 0,53-2 0,0 3 0,0 1 0,-64 12 0,68-9 0,-1-1 0,0-1 0,1-2 0,-45-4 0,30 1 0,-51 5 0,28 10 0,52-9 0,0 0 0,-31 2 0,-54-6 0,51-1 0,0 3 0,-81 12 0,107-11 0,0 0 0,-45-3 0,48-1 0,0 2 0,0 0 0,-38 7 0,50-4 0,0 0 0,1 0 0,-20 12 0,-16 6 0,6-8-83,28-10-77,0 0 0,0 0-1,0 2 1,0 0 0,1 0 0,0 1-1,-20 14 1,21-9-6666</inkml:trace>
  <inkml:trace contextRef="#ctx0" brushRef="#br0" timeOffset="601.02">249 689 24575,'-3'4'0,"0"0"0,0-1 0,0 1 0,-1-1 0,1 1 0,-1-1 0,0 0 0,0-1 0,0 1 0,0-1 0,0 1 0,-5 1 0,0 0 0,-12 11 0,1 0 0,-34 33 0,8-6 0,41-38 0,0 1 0,0 0 0,0 0 0,1 0 0,0 1 0,0-1 0,0 1 0,-3 9 0,6-14 0,0 0 0,1 0 0,0 0 0,-1 1 0,1-1 0,0 0 0,-1 0 0,1 1 0,0-1 0,0 0 0,0 1 0,0-1 0,0 0 0,1 0 0,-1 1 0,0-1 0,1 0 0,-1 0 0,0 1 0,1-1 0,0 0 0,-1 0 0,1 0 0,0 0 0,-1 0 0,1 0 0,0 0 0,0 0 0,0 0 0,0 0 0,0 0 0,0 0 0,0-1 0,0 1 0,0 0 0,0-1 0,1 1 0,-1-1 0,0 1 0,0-1 0,0 0 0,1 0 0,-1 1 0,0-1 0,1 0 0,-1 0 0,0 0 0,3 0 0,48 4 0,0-2 0,57-6 0,-1 1 0,182 3-1365,-267 0-5461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8B253-7810-412E-AF0B-68A6AF60179F}">
  <dimension ref="D1:CK81"/>
  <sheetViews>
    <sheetView topLeftCell="AD1" zoomScale="85" zoomScaleNormal="85" workbookViewId="0">
      <selection activeCell="P57" sqref="P57"/>
    </sheetView>
  </sheetViews>
  <sheetFormatPr defaultRowHeight="15.75" x14ac:dyDescent="0.25"/>
  <cols>
    <col min="1" max="33" width="9.140625" style="2"/>
    <col min="34" max="34" width="9.140625" style="32"/>
    <col min="35" max="37" width="11.5703125" style="32" customWidth="1"/>
    <col min="38" max="38" width="9.140625" style="32"/>
    <col min="39" max="51" width="9.140625" style="2"/>
    <col min="52" max="52" width="11.42578125" style="2" customWidth="1"/>
    <col min="53" max="53" width="9.140625" style="2"/>
    <col min="54" max="54" width="12.7109375" style="2" customWidth="1"/>
    <col min="55" max="16384" width="9.140625" style="2"/>
  </cols>
  <sheetData>
    <row r="1" spans="4:89" x14ac:dyDescent="0.25">
      <c r="BT1" s="2" t="s">
        <v>5</v>
      </c>
    </row>
    <row r="2" spans="4:89" ht="30" customHeight="1" x14ac:dyDescent="0.25">
      <c r="D2" s="3" t="s">
        <v>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U2" s="3" t="s">
        <v>11</v>
      </c>
      <c r="V2" s="3"/>
      <c r="W2" s="3"/>
      <c r="X2" s="4"/>
      <c r="Y2" s="42" t="s">
        <v>12</v>
      </c>
      <c r="Z2" s="42"/>
      <c r="AA2" s="42"/>
      <c r="AC2" s="42" t="s">
        <v>13</v>
      </c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  <c r="BX2" s="42"/>
      <c r="BY2" s="42"/>
      <c r="BZ2" s="42"/>
      <c r="CA2" s="42"/>
      <c r="CB2" s="42"/>
      <c r="CC2" s="42"/>
      <c r="CD2" s="42"/>
      <c r="CE2" s="42"/>
      <c r="CF2" s="42"/>
      <c r="CG2" s="42"/>
      <c r="CH2" s="42"/>
      <c r="CI2" s="42"/>
      <c r="CJ2" s="42"/>
      <c r="CK2" s="42"/>
    </row>
    <row r="4" spans="4:89" x14ac:dyDescent="0.25">
      <c r="D4" s="5" t="s">
        <v>0</v>
      </c>
      <c r="E4" s="5" t="s">
        <v>1</v>
      </c>
      <c r="F4" s="5"/>
      <c r="G4" s="5"/>
      <c r="I4" s="6" t="s">
        <v>2</v>
      </c>
      <c r="J4" s="6" t="s">
        <v>1</v>
      </c>
      <c r="K4" s="6"/>
      <c r="L4" s="6"/>
      <c r="N4" s="7" t="s">
        <v>3</v>
      </c>
      <c r="O4" s="7" t="s">
        <v>1</v>
      </c>
      <c r="P4" s="7"/>
      <c r="Q4" s="7"/>
      <c r="U4" s="8" t="s">
        <v>14</v>
      </c>
      <c r="V4" s="8" t="s">
        <v>8</v>
      </c>
      <c r="W4" s="9" t="s">
        <v>10</v>
      </c>
      <c r="Y4" s="8" t="s">
        <v>14</v>
      </c>
      <c r="Z4" s="43" t="s">
        <v>8</v>
      </c>
      <c r="AA4" s="44" t="s">
        <v>10</v>
      </c>
      <c r="AB4" s="6"/>
      <c r="AC4" s="8" t="s">
        <v>14</v>
      </c>
      <c r="AD4" s="44" cm="1">
        <f t="array" ref="AD4:CK4">TRANSPOSE(Y5:Y64)</f>
        <v>0</v>
      </c>
      <c r="AE4" s="44">
        <v>0</v>
      </c>
      <c r="AF4" s="44">
        <v>0</v>
      </c>
      <c r="AG4" s="44">
        <v>0</v>
      </c>
      <c r="AH4" s="44">
        <v>0</v>
      </c>
      <c r="AI4" s="44">
        <v>0</v>
      </c>
      <c r="AJ4" s="44">
        <v>0</v>
      </c>
      <c r="AK4" s="44">
        <v>0</v>
      </c>
      <c r="AL4" s="44">
        <v>0</v>
      </c>
      <c r="AM4" s="44">
        <v>0</v>
      </c>
      <c r="AN4" s="44">
        <v>0</v>
      </c>
      <c r="AO4" s="44">
        <v>0</v>
      </c>
      <c r="AP4" s="44">
        <v>0</v>
      </c>
      <c r="AQ4" s="44">
        <v>0</v>
      </c>
      <c r="AR4" s="44">
        <v>0</v>
      </c>
      <c r="AS4" s="44">
        <v>0</v>
      </c>
      <c r="AT4" s="44">
        <v>0</v>
      </c>
      <c r="AU4" s="44">
        <v>0</v>
      </c>
      <c r="AV4" s="44">
        <v>0</v>
      </c>
      <c r="AW4" s="44">
        <v>0</v>
      </c>
      <c r="AX4" s="44">
        <v>0</v>
      </c>
      <c r="AY4" s="44">
        <v>0</v>
      </c>
      <c r="AZ4" s="44">
        <v>0</v>
      </c>
      <c r="BA4" s="44">
        <v>85</v>
      </c>
      <c r="BB4" s="44">
        <v>85</v>
      </c>
      <c r="BC4" s="44">
        <v>86</v>
      </c>
      <c r="BD4" s="44">
        <v>88</v>
      </c>
      <c r="BE4" s="44">
        <v>91</v>
      </c>
      <c r="BF4" s="44">
        <v>92</v>
      </c>
      <c r="BG4" s="44">
        <v>92</v>
      </c>
      <c r="BH4" s="44">
        <v>93</v>
      </c>
      <c r="BI4" s="44">
        <v>93</v>
      </c>
      <c r="BJ4" s="44">
        <v>96</v>
      </c>
      <c r="BK4" s="44">
        <v>96</v>
      </c>
      <c r="BL4" s="44">
        <v>97</v>
      </c>
      <c r="BM4" s="44">
        <v>98</v>
      </c>
      <c r="BN4" s="44">
        <v>98</v>
      </c>
      <c r="BO4" s="44">
        <v>98</v>
      </c>
      <c r="BP4" s="44">
        <v>100</v>
      </c>
      <c r="BQ4" s="44">
        <v>100</v>
      </c>
      <c r="BR4" s="44">
        <v>101</v>
      </c>
      <c r="BS4" s="44">
        <v>101</v>
      </c>
      <c r="BT4" s="44">
        <v>103</v>
      </c>
      <c r="BU4" s="44">
        <v>103</v>
      </c>
      <c r="BV4" s="44">
        <v>103</v>
      </c>
      <c r="BW4" s="44">
        <v>103</v>
      </c>
      <c r="BX4" s="44">
        <v>104</v>
      </c>
      <c r="BY4" s="44">
        <v>106</v>
      </c>
      <c r="BZ4" s="44">
        <v>106</v>
      </c>
      <c r="CA4" s="44">
        <v>106</v>
      </c>
      <c r="CB4" s="44">
        <v>106</v>
      </c>
      <c r="CC4" s="44">
        <v>107</v>
      </c>
      <c r="CD4" s="44">
        <v>108</v>
      </c>
      <c r="CE4" s="44">
        <v>109</v>
      </c>
      <c r="CF4" s="44">
        <v>109</v>
      </c>
      <c r="CG4" s="44">
        <v>112</v>
      </c>
      <c r="CH4" s="44">
        <v>116</v>
      </c>
      <c r="CI4" s="44">
        <v>117</v>
      </c>
      <c r="CJ4" s="44">
        <v>119</v>
      </c>
      <c r="CK4" s="44">
        <v>120</v>
      </c>
    </row>
    <row r="5" spans="4:89" x14ac:dyDescent="0.25">
      <c r="D5" s="5" t="s">
        <v>7</v>
      </c>
      <c r="E5" s="5" t="s">
        <v>8</v>
      </c>
      <c r="F5" s="5" t="s">
        <v>9</v>
      </c>
      <c r="G5" s="5" t="s">
        <v>10</v>
      </c>
      <c r="I5" s="6" t="s">
        <v>7</v>
      </c>
      <c r="J5" s="6" t="s">
        <v>8</v>
      </c>
      <c r="K5" s="6" t="s">
        <v>9</v>
      </c>
      <c r="L5" s="6" t="s">
        <v>10</v>
      </c>
      <c r="N5" s="7" t="s">
        <v>7</v>
      </c>
      <c r="O5" s="7" t="s">
        <v>8</v>
      </c>
      <c r="P5" s="7" t="s">
        <v>9</v>
      </c>
      <c r="Q5" s="7" t="s">
        <v>10</v>
      </c>
      <c r="U5" s="10">
        <f>D44</f>
        <v>0</v>
      </c>
      <c r="V5" s="11">
        <f>E44</f>
        <v>0</v>
      </c>
      <c r="W5" s="12">
        <v>0</v>
      </c>
      <c r="Y5" s="44" cm="1">
        <f t="array" ref="Y5:AA64">_xlfn._xlws.SORT(U5:W64,1,1)</f>
        <v>0</v>
      </c>
      <c r="Z5" s="44">
        <v>0</v>
      </c>
      <c r="AA5" s="44">
        <v>0</v>
      </c>
      <c r="AC5" s="43" t="s">
        <v>8</v>
      </c>
      <c r="AD5" s="44" cm="1">
        <f t="array" ref="AD5:CK5">TRANSPOSE(Z5:Z64)</f>
        <v>0</v>
      </c>
      <c r="AE5" s="44">
        <v>0</v>
      </c>
      <c r="AF5" s="44">
        <v>0</v>
      </c>
      <c r="AG5" s="44">
        <v>0</v>
      </c>
      <c r="AH5" s="44">
        <v>0</v>
      </c>
      <c r="AI5" s="44">
        <v>0</v>
      </c>
      <c r="AJ5" s="44">
        <v>0</v>
      </c>
      <c r="AK5" s="44">
        <v>0</v>
      </c>
      <c r="AL5" s="44">
        <v>0</v>
      </c>
      <c r="AM5" s="44">
        <v>0</v>
      </c>
      <c r="AN5" s="44">
        <v>0</v>
      </c>
      <c r="AO5" s="44">
        <v>0</v>
      </c>
      <c r="AP5" s="44">
        <v>0</v>
      </c>
      <c r="AQ5" s="44">
        <v>0</v>
      </c>
      <c r="AR5" s="44">
        <v>0</v>
      </c>
      <c r="AS5" s="44">
        <v>0</v>
      </c>
      <c r="AT5" s="44">
        <v>0</v>
      </c>
      <c r="AU5" s="44">
        <v>0</v>
      </c>
      <c r="AV5" s="44">
        <v>0</v>
      </c>
      <c r="AW5" s="44">
        <v>0</v>
      </c>
      <c r="AX5" s="44">
        <v>0</v>
      </c>
      <c r="AY5" s="44">
        <v>0</v>
      </c>
      <c r="AZ5" s="44">
        <v>0</v>
      </c>
      <c r="BA5" s="44">
        <v>1</v>
      </c>
      <c r="BB5" s="44">
        <v>2</v>
      </c>
      <c r="BC5" s="44">
        <v>2</v>
      </c>
      <c r="BD5" s="44">
        <v>3</v>
      </c>
      <c r="BE5" s="44">
        <v>5</v>
      </c>
      <c r="BF5" s="44">
        <v>4</v>
      </c>
      <c r="BG5" s="44">
        <v>5</v>
      </c>
      <c r="BH5" s="44">
        <v>2</v>
      </c>
      <c r="BI5" s="44">
        <v>2</v>
      </c>
      <c r="BJ5" s="44">
        <v>5</v>
      </c>
      <c r="BK5" s="44">
        <v>4</v>
      </c>
      <c r="BL5" s="44">
        <v>0</v>
      </c>
      <c r="BM5" s="44">
        <v>2</v>
      </c>
      <c r="BN5" s="44">
        <v>5</v>
      </c>
      <c r="BO5" s="44">
        <v>0</v>
      </c>
      <c r="BP5" s="44">
        <v>0</v>
      </c>
      <c r="BQ5" s="44">
        <v>0</v>
      </c>
      <c r="BR5" s="44">
        <v>1</v>
      </c>
      <c r="BS5" s="44">
        <v>0</v>
      </c>
      <c r="BT5" s="44">
        <v>1</v>
      </c>
      <c r="BU5" s="44">
        <v>1</v>
      </c>
      <c r="BV5" s="44">
        <v>0</v>
      </c>
      <c r="BW5" s="44">
        <v>0</v>
      </c>
      <c r="BX5" s="44">
        <v>3</v>
      </c>
      <c r="BY5" s="44">
        <v>5</v>
      </c>
      <c r="BZ5" s="44">
        <v>4</v>
      </c>
      <c r="CA5" s="44">
        <v>3</v>
      </c>
      <c r="CB5" s="44">
        <v>0</v>
      </c>
      <c r="CC5" s="44">
        <v>0</v>
      </c>
      <c r="CD5" s="44">
        <v>0</v>
      </c>
      <c r="CE5" s="44">
        <v>3</v>
      </c>
      <c r="CF5" s="44">
        <v>0</v>
      </c>
      <c r="CG5" s="44">
        <v>0</v>
      </c>
      <c r="CH5" s="44">
        <v>0</v>
      </c>
      <c r="CI5" s="44">
        <v>0</v>
      </c>
      <c r="CJ5" s="44">
        <v>0</v>
      </c>
      <c r="CK5" s="44">
        <v>0</v>
      </c>
    </row>
    <row r="6" spans="4:89" x14ac:dyDescent="0.25">
      <c r="D6" s="5">
        <v>0</v>
      </c>
      <c r="E6" s="5">
        <v>0</v>
      </c>
      <c r="F6" s="5">
        <v>103</v>
      </c>
      <c r="G6" s="5">
        <v>2</v>
      </c>
      <c r="I6" s="6">
        <v>0</v>
      </c>
      <c r="J6" s="6">
        <v>0</v>
      </c>
      <c r="K6" s="6">
        <v>119</v>
      </c>
      <c r="L6" s="6">
        <v>2</v>
      </c>
      <c r="N6" s="7">
        <v>0</v>
      </c>
      <c r="O6" s="7">
        <v>0</v>
      </c>
      <c r="P6" s="7">
        <v>100</v>
      </c>
      <c r="Q6" s="7">
        <v>1</v>
      </c>
      <c r="U6" s="13">
        <f t="shared" ref="U6:V6" si="0">D45</f>
        <v>106</v>
      </c>
      <c r="V6" s="14">
        <f t="shared" si="0"/>
        <v>5</v>
      </c>
      <c r="W6" s="15">
        <v>0</v>
      </c>
      <c r="Y6" s="44">
        <v>0</v>
      </c>
      <c r="Z6" s="44">
        <v>0</v>
      </c>
      <c r="AA6" s="44">
        <v>0</v>
      </c>
      <c r="AC6" s="44" t="s">
        <v>10</v>
      </c>
      <c r="AD6" s="44" cm="1">
        <f t="array" ref="AD6:CK6">TRANSPOSE(AA5:AA64)</f>
        <v>0</v>
      </c>
      <c r="AE6" s="44">
        <v>0</v>
      </c>
      <c r="AF6" s="44">
        <v>0</v>
      </c>
      <c r="AG6" s="44">
        <v>0</v>
      </c>
      <c r="AH6" s="44">
        <v>0</v>
      </c>
      <c r="AI6" s="44">
        <v>0</v>
      </c>
      <c r="AJ6" s="44">
        <v>0</v>
      </c>
      <c r="AK6" s="44">
        <v>0</v>
      </c>
      <c r="AL6" s="44">
        <v>0</v>
      </c>
      <c r="AM6" s="44">
        <v>0</v>
      </c>
      <c r="AN6" s="44">
        <v>0</v>
      </c>
      <c r="AO6" s="44">
        <v>0</v>
      </c>
      <c r="AP6" s="44">
        <v>0</v>
      </c>
      <c r="AQ6" s="44">
        <v>0</v>
      </c>
      <c r="AR6" s="44">
        <v>0</v>
      </c>
      <c r="AS6" s="44">
        <v>0</v>
      </c>
      <c r="AT6" s="44">
        <v>0</v>
      </c>
      <c r="AU6" s="44">
        <v>0</v>
      </c>
      <c r="AV6" s="44">
        <v>0</v>
      </c>
      <c r="AW6" s="44">
        <v>0</v>
      </c>
      <c r="AX6" s="44">
        <v>0</v>
      </c>
      <c r="AY6" s="44">
        <v>0</v>
      </c>
      <c r="AZ6" s="44">
        <v>0</v>
      </c>
      <c r="BA6" s="44">
        <v>0</v>
      </c>
      <c r="BB6" s="44">
        <v>0</v>
      </c>
      <c r="BC6" s="44">
        <v>0</v>
      </c>
      <c r="BD6" s="44">
        <v>0</v>
      </c>
      <c r="BE6" s="44">
        <v>0</v>
      </c>
      <c r="BF6" s="44">
        <v>0</v>
      </c>
      <c r="BG6" s="44">
        <v>0</v>
      </c>
      <c r="BH6" s="44">
        <v>0</v>
      </c>
      <c r="BI6" s="44">
        <v>0</v>
      </c>
      <c r="BJ6" s="44">
        <v>0</v>
      </c>
      <c r="BK6" s="44">
        <v>0</v>
      </c>
      <c r="BL6" s="44">
        <v>4</v>
      </c>
      <c r="BM6" s="44">
        <v>0</v>
      </c>
      <c r="BN6" s="44">
        <v>0</v>
      </c>
      <c r="BO6" s="44">
        <v>1</v>
      </c>
      <c r="BP6" s="44">
        <v>1</v>
      </c>
      <c r="BQ6" s="44">
        <v>4</v>
      </c>
      <c r="BR6" s="44">
        <v>0</v>
      </c>
      <c r="BS6" s="44">
        <v>2</v>
      </c>
      <c r="BT6" s="44">
        <v>0</v>
      </c>
      <c r="BU6" s="44">
        <v>0</v>
      </c>
      <c r="BV6" s="44">
        <v>2</v>
      </c>
      <c r="BW6" s="44">
        <v>1</v>
      </c>
      <c r="BX6" s="44">
        <v>0</v>
      </c>
      <c r="BY6" s="44">
        <v>0</v>
      </c>
      <c r="BZ6" s="44">
        <v>0</v>
      </c>
      <c r="CA6" s="44">
        <v>0</v>
      </c>
      <c r="CB6" s="44">
        <v>1</v>
      </c>
      <c r="CC6" s="44">
        <v>1</v>
      </c>
      <c r="CD6" s="44">
        <v>2</v>
      </c>
      <c r="CE6" s="44">
        <v>0</v>
      </c>
      <c r="CF6" s="44">
        <v>3</v>
      </c>
      <c r="CG6" s="44">
        <v>2</v>
      </c>
      <c r="CH6" s="44">
        <v>3</v>
      </c>
      <c r="CI6" s="44">
        <v>4</v>
      </c>
      <c r="CJ6" s="44">
        <v>2</v>
      </c>
      <c r="CK6" s="44">
        <v>3</v>
      </c>
    </row>
    <row r="7" spans="4:89" x14ac:dyDescent="0.25">
      <c r="D7" s="5">
        <v>106</v>
      </c>
      <c r="E7" s="5">
        <v>5</v>
      </c>
      <c r="F7" s="5">
        <v>0</v>
      </c>
      <c r="G7" s="5">
        <v>0</v>
      </c>
      <c r="I7" s="6">
        <v>101</v>
      </c>
      <c r="J7" s="6">
        <v>1</v>
      </c>
      <c r="K7" s="6">
        <v>0</v>
      </c>
      <c r="L7" s="6">
        <v>0</v>
      </c>
      <c r="N7" s="7">
        <v>92</v>
      </c>
      <c r="O7" s="7">
        <v>4</v>
      </c>
      <c r="P7" s="7">
        <v>0</v>
      </c>
      <c r="Q7" s="7">
        <v>0</v>
      </c>
      <c r="U7" s="13">
        <f t="shared" ref="U7:V7" si="1">D46</f>
        <v>85</v>
      </c>
      <c r="V7" s="14">
        <f t="shared" si="1"/>
        <v>1</v>
      </c>
      <c r="W7" s="15">
        <v>0</v>
      </c>
      <c r="Y7" s="44">
        <v>0</v>
      </c>
      <c r="Z7" s="44">
        <v>0</v>
      </c>
      <c r="AA7" s="44">
        <v>0</v>
      </c>
      <c r="AI7" s="14"/>
      <c r="AJ7" s="14"/>
    </row>
    <row r="8" spans="4:89" x14ac:dyDescent="0.25">
      <c r="D8" s="5">
        <v>85</v>
      </c>
      <c r="E8" s="5">
        <v>1</v>
      </c>
      <c r="F8" s="5">
        <v>101</v>
      </c>
      <c r="G8" s="5">
        <v>2</v>
      </c>
      <c r="I8" s="6">
        <v>88</v>
      </c>
      <c r="J8" s="6">
        <v>3</v>
      </c>
      <c r="K8" s="6">
        <v>120</v>
      </c>
      <c r="L8" s="6">
        <v>3</v>
      </c>
      <c r="N8" s="7">
        <v>92</v>
      </c>
      <c r="O8" s="7">
        <v>5</v>
      </c>
      <c r="P8" s="7">
        <v>0</v>
      </c>
      <c r="Q8" s="7">
        <v>0</v>
      </c>
      <c r="U8" s="13">
        <f t="shared" ref="U8:V8" si="2">D47</f>
        <v>91</v>
      </c>
      <c r="V8" s="14">
        <f t="shared" si="2"/>
        <v>5</v>
      </c>
      <c r="W8" s="15">
        <v>0</v>
      </c>
      <c r="Y8" s="44">
        <v>0</v>
      </c>
      <c r="Z8" s="44">
        <v>0</v>
      </c>
      <c r="AA8" s="44">
        <v>0</v>
      </c>
      <c r="AC8" s="45" t="s">
        <v>17</v>
      </c>
      <c r="AH8" s="2"/>
      <c r="AI8" s="2"/>
      <c r="AJ8" s="2"/>
      <c r="AK8" s="2"/>
      <c r="AL8" s="2"/>
    </row>
    <row r="9" spans="4:89" x14ac:dyDescent="0.25">
      <c r="D9" s="5">
        <v>91</v>
      </c>
      <c r="E9" s="5">
        <v>5</v>
      </c>
      <c r="F9" s="5">
        <v>108</v>
      </c>
      <c r="G9" s="5">
        <v>2</v>
      </c>
      <c r="I9" s="6">
        <v>103</v>
      </c>
      <c r="J9" s="6">
        <v>1</v>
      </c>
      <c r="K9" s="6">
        <v>97</v>
      </c>
      <c r="L9" s="6">
        <v>4</v>
      </c>
      <c r="N9" s="7">
        <v>98</v>
      </c>
      <c r="O9" s="7">
        <v>5</v>
      </c>
      <c r="P9" s="7">
        <v>0</v>
      </c>
      <c r="Q9" s="7">
        <v>0</v>
      </c>
      <c r="U9" s="13">
        <f t="shared" ref="U9:V9" si="3">D48</f>
        <v>85</v>
      </c>
      <c r="V9" s="14">
        <f t="shared" si="3"/>
        <v>2</v>
      </c>
      <c r="W9" s="15">
        <v>0</v>
      </c>
      <c r="Y9" s="44">
        <v>0</v>
      </c>
      <c r="Z9" s="44">
        <v>0</v>
      </c>
      <c r="AA9" s="44">
        <v>0</v>
      </c>
      <c r="AC9" s="8" t="str">
        <f>AC4</f>
        <v>price</v>
      </c>
      <c r="AD9" s="8">
        <f t="shared" ref="AD9:CK9" si="4">AD4</f>
        <v>0</v>
      </c>
      <c r="AE9" s="8">
        <f t="shared" si="4"/>
        <v>0</v>
      </c>
      <c r="AF9" s="8">
        <f t="shared" si="4"/>
        <v>0</v>
      </c>
      <c r="AG9" s="8">
        <f t="shared" si="4"/>
        <v>0</v>
      </c>
      <c r="AH9" s="8">
        <f t="shared" si="4"/>
        <v>0</v>
      </c>
      <c r="AI9" s="8">
        <f t="shared" si="4"/>
        <v>0</v>
      </c>
      <c r="AJ9" s="8">
        <f t="shared" si="4"/>
        <v>0</v>
      </c>
      <c r="AK9" s="8">
        <f t="shared" si="4"/>
        <v>0</v>
      </c>
      <c r="AL9" s="8">
        <f t="shared" si="4"/>
        <v>0</v>
      </c>
      <c r="AM9" s="8">
        <f t="shared" si="4"/>
        <v>0</v>
      </c>
      <c r="AN9" s="8">
        <f t="shared" si="4"/>
        <v>0</v>
      </c>
      <c r="AO9" s="8">
        <f t="shared" si="4"/>
        <v>0</v>
      </c>
      <c r="AP9" s="8">
        <f t="shared" si="4"/>
        <v>0</v>
      </c>
      <c r="AQ9" s="8">
        <f t="shared" si="4"/>
        <v>0</v>
      </c>
      <c r="AR9" s="8">
        <f t="shared" si="4"/>
        <v>0</v>
      </c>
      <c r="AS9" s="8">
        <f t="shared" si="4"/>
        <v>0</v>
      </c>
      <c r="AT9" s="8">
        <f t="shared" si="4"/>
        <v>0</v>
      </c>
      <c r="AU9" s="8">
        <f t="shared" si="4"/>
        <v>0</v>
      </c>
      <c r="AV9" s="8">
        <f t="shared" si="4"/>
        <v>0</v>
      </c>
      <c r="AW9" s="8">
        <f t="shared" si="4"/>
        <v>0</v>
      </c>
      <c r="AX9" s="8">
        <f t="shared" si="4"/>
        <v>0</v>
      </c>
      <c r="AY9" s="8">
        <f t="shared" si="4"/>
        <v>0</v>
      </c>
      <c r="AZ9" s="8">
        <f t="shared" si="4"/>
        <v>0</v>
      </c>
      <c r="BA9" s="8">
        <f t="shared" si="4"/>
        <v>85</v>
      </c>
      <c r="BB9" s="8">
        <f t="shared" si="4"/>
        <v>85</v>
      </c>
      <c r="BC9" s="8">
        <f t="shared" si="4"/>
        <v>86</v>
      </c>
      <c r="BD9" s="8">
        <f t="shared" si="4"/>
        <v>88</v>
      </c>
      <c r="BE9" s="8">
        <f t="shared" si="4"/>
        <v>91</v>
      </c>
      <c r="BF9" s="8">
        <f t="shared" si="4"/>
        <v>92</v>
      </c>
      <c r="BG9" s="8">
        <f t="shared" si="4"/>
        <v>92</v>
      </c>
      <c r="BH9" s="8">
        <f t="shared" si="4"/>
        <v>93</v>
      </c>
      <c r="BI9" s="8">
        <f t="shared" si="4"/>
        <v>93</v>
      </c>
      <c r="BJ9" s="8">
        <f t="shared" si="4"/>
        <v>96</v>
      </c>
      <c r="BK9" s="8">
        <f t="shared" si="4"/>
        <v>96</v>
      </c>
      <c r="BL9" s="8">
        <f t="shared" si="4"/>
        <v>97</v>
      </c>
      <c r="BM9" s="8">
        <f t="shared" si="4"/>
        <v>98</v>
      </c>
      <c r="BN9" s="8">
        <f t="shared" si="4"/>
        <v>98</v>
      </c>
      <c r="BO9" s="8">
        <f t="shared" si="4"/>
        <v>98</v>
      </c>
      <c r="BP9" s="8">
        <f t="shared" si="4"/>
        <v>100</v>
      </c>
      <c r="BQ9" s="8">
        <f t="shared" si="4"/>
        <v>100</v>
      </c>
      <c r="BR9" s="8">
        <f t="shared" si="4"/>
        <v>101</v>
      </c>
      <c r="BS9" s="8">
        <f t="shared" si="4"/>
        <v>101</v>
      </c>
      <c r="BT9" s="8">
        <f t="shared" si="4"/>
        <v>103</v>
      </c>
      <c r="BU9" s="8">
        <f t="shared" si="4"/>
        <v>103</v>
      </c>
      <c r="BV9" s="8">
        <f t="shared" si="4"/>
        <v>103</v>
      </c>
      <c r="BW9" s="8">
        <f t="shared" si="4"/>
        <v>103</v>
      </c>
      <c r="BX9" s="8">
        <f t="shared" si="4"/>
        <v>104</v>
      </c>
      <c r="BY9" s="8">
        <f t="shared" si="4"/>
        <v>106</v>
      </c>
      <c r="BZ9" s="8">
        <f t="shared" si="4"/>
        <v>106</v>
      </c>
      <c r="CA9" s="8">
        <f t="shared" si="4"/>
        <v>106</v>
      </c>
      <c r="CB9" s="8">
        <f t="shared" si="4"/>
        <v>106</v>
      </c>
      <c r="CC9" s="8">
        <f t="shared" si="4"/>
        <v>107</v>
      </c>
      <c r="CD9" s="8">
        <f t="shared" si="4"/>
        <v>108</v>
      </c>
      <c r="CE9" s="8">
        <f t="shared" si="4"/>
        <v>109</v>
      </c>
      <c r="CF9" s="8">
        <f t="shared" si="4"/>
        <v>109</v>
      </c>
      <c r="CG9" s="8">
        <f t="shared" si="4"/>
        <v>112</v>
      </c>
      <c r="CH9" s="8">
        <f t="shared" si="4"/>
        <v>116</v>
      </c>
      <c r="CI9" s="8">
        <f t="shared" si="4"/>
        <v>117</v>
      </c>
      <c r="CJ9" s="8">
        <f t="shared" si="4"/>
        <v>119</v>
      </c>
      <c r="CK9" s="8">
        <f t="shared" si="4"/>
        <v>120</v>
      </c>
    </row>
    <row r="10" spans="4:89" x14ac:dyDescent="0.25">
      <c r="D10" s="5">
        <v>85</v>
      </c>
      <c r="E10" s="5">
        <v>2</v>
      </c>
      <c r="F10" s="5">
        <v>117</v>
      </c>
      <c r="G10" s="5">
        <v>4</v>
      </c>
      <c r="I10" s="6">
        <v>0</v>
      </c>
      <c r="J10" s="6">
        <v>0</v>
      </c>
      <c r="K10" s="6">
        <v>0</v>
      </c>
      <c r="L10" s="6">
        <v>0</v>
      </c>
      <c r="N10" s="7">
        <v>93</v>
      </c>
      <c r="O10" s="7">
        <v>2</v>
      </c>
      <c r="P10" s="7">
        <v>116</v>
      </c>
      <c r="Q10" s="7">
        <v>3</v>
      </c>
      <c r="U10" s="13">
        <f t="shared" ref="U10:V10" si="5">D49</f>
        <v>109</v>
      </c>
      <c r="V10" s="14">
        <f t="shared" si="5"/>
        <v>3</v>
      </c>
      <c r="W10" s="15">
        <v>0</v>
      </c>
      <c r="Y10" s="44">
        <v>0</v>
      </c>
      <c r="Z10" s="44">
        <v>0</v>
      </c>
      <c r="AA10" s="44">
        <v>0</v>
      </c>
      <c r="AC10" s="2" t="s">
        <v>15</v>
      </c>
      <c r="AD10" s="2">
        <f>AD6</f>
        <v>0</v>
      </c>
      <c r="AE10" s="2">
        <f>AE6+AD10</f>
        <v>0</v>
      </c>
      <c r="AF10" s="2">
        <f t="shared" ref="AF10:CK10" si="6">AF6+AE10</f>
        <v>0</v>
      </c>
      <c r="AG10" s="2">
        <f t="shared" si="6"/>
        <v>0</v>
      </c>
      <c r="AH10" s="2">
        <f t="shared" si="6"/>
        <v>0</v>
      </c>
      <c r="AI10" s="2">
        <f t="shared" si="6"/>
        <v>0</v>
      </c>
      <c r="AJ10" s="2">
        <f t="shared" si="6"/>
        <v>0</v>
      </c>
      <c r="AK10" s="2">
        <f t="shared" si="6"/>
        <v>0</v>
      </c>
      <c r="AL10" s="2">
        <f t="shared" si="6"/>
        <v>0</v>
      </c>
      <c r="AM10" s="2">
        <f t="shared" si="6"/>
        <v>0</v>
      </c>
      <c r="AN10" s="2">
        <f t="shared" si="6"/>
        <v>0</v>
      </c>
      <c r="AO10" s="2">
        <f t="shared" si="6"/>
        <v>0</v>
      </c>
      <c r="AP10" s="2">
        <f t="shared" si="6"/>
        <v>0</v>
      </c>
      <c r="AQ10" s="2">
        <f t="shared" si="6"/>
        <v>0</v>
      </c>
      <c r="AR10" s="2">
        <f t="shared" si="6"/>
        <v>0</v>
      </c>
      <c r="AS10" s="2">
        <f t="shared" si="6"/>
        <v>0</v>
      </c>
      <c r="AT10" s="2">
        <f t="shared" si="6"/>
        <v>0</v>
      </c>
      <c r="AU10" s="2">
        <f t="shared" si="6"/>
        <v>0</v>
      </c>
      <c r="AV10" s="2">
        <f t="shared" si="6"/>
        <v>0</v>
      </c>
      <c r="AW10" s="2">
        <f t="shared" si="6"/>
        <v>0</v>
      </c>
      <c r="AX10" s="2">
        <f t="shared" si="6"/>
        <v>0</v>
      </c>
      <c r="AY10" s="2">
        <f t="shared" si="6"/>
        <v>0</v>
      </c>
      <c r="AZ10" s="2">
        <f t="shared" si="6"/>
        <v>0</v>
      </c>
      <c r="BA10" s="2">
        <f t="shared" si="6"/>
        <v>0</v>
      </c>
      <c r="BB10" s="2">
        <f t="shared" si="6"/>
        <v>0</v>
      </c>
      <c r="BC10" s="2">
        <f t="shared" si="6"/>
        <v>0</v>
      </c>
      <c r="BD10" s="2">
        <f t="shared" si="6"/>
        <v>0</v>
      </c>
      <c r="BE10" s="2">
        <f t="shared" si="6"/>
        <v>0</v>
      </c>
      <c r="BF10" s="2">
        <f t="shared" si="6"/>
        <v>0</v>
      </c>
      <c r="BG10" s="2">
        <f t="shared" si="6"/>
        <v>0</v>
      </c>
      <c r="BH10" s="2">
        <f t="shared" si="6"/>
        <v>0</v>
      </c>
      <c r="BI10" s="2">
        <f t="shared" si="6"/>
        <v>0</v>
      </c>
      <c r="BJ10" s="2">
        <f t="shared" si="6"/>
        <v>0</v>
      </c>
      <c r="BK10" s="2">
        <f t="shared" si="6"/>
        <v>0</v>
      </c>
      <c r="BL10" s="2">
        <f t="shared" si="6"/>
        <v>4</v>
      </c>
      <c r="BM10" s="2">
        <f t="shared" si="6"/>
        <v>4</v>
      </c>
      <c r="BN10" s="2">
        <f t="shared" si="6"/>
        <v>4</v>
      </c>
      <c r="BO10" s="2">
        <f t="shared" si="6"/>
        <v>5</v>
      </c>
      <c r="BP10" s="2">
        <f t="shared" si="6"/>
        <v>6</v>
      </c>
      <c r="BQ10" s="2">
        <f t="shared" si="6"/>
        <v>10</v>
      </c>
      <c r="BR10" s="2">
        <f t="shared" si="6"/>
        <v>10</v>
      </c>
      <c r="BS10" s="2">
        <f t="shared" si="6"/>
        <v>12</v>
      </c>
      <c r="BT10" s="2">
        <f t="shared" si="6"/>
        <v>12</v>
      </c>
      <c r="BU10" s="2">
        <f t="shared" si="6"/>
        <v>12</v>
      </c>
      <c r="BV10" s="2">
        <f t="shared" si="6"/>
        <v>14</v>
      </c>
      <c r="BW10" s="2">
        <f t="shared" si="6"/>
        <v>15</v>
      </c>
      <c r="BX10" s="2">
        <f t="shared" si="6"/>
        <v>15</v>
      </c>
      <c r="BY10" s="2">
        <f t="shared" si="6"/>
        <v>15</v>
      </c>
      <c r="BZ10" s="2">
        <f t="shared" si="6"/>
        <v>15</v>
      </c>
      <c r="CA10" s="2">
        <f t="shared" si="6"/>
        <v>15</v>
      </c>
      <c r="CB10" s="2">
        <f t="shared" si="6"/>
        <v>16</v>
      </c>
      <c r="CC10" s="2">
        <f t="shared" si="6"/>
        <v>17</v>
      </c>
      <c r="CD10" s="2">
        <f t="shared" si="6"/>
        <v>19</v>
      </c>
      <c r="CE10" s="2">
        <f t="shared" si="6"/>
        <v>19</v>
      </c>
      <c r="CF10" s="2">
        <f t="shared" si="6"/>
        <v>22</v>
      </c>
      <c r="CG10" s="2">
        <f t="shared" si="6"/>
        <v>24</v>
      </c>
      <c r="CH10" s="2">
        <f t="shared" si="6"/>
        <v>27</v>
      </c>
      <c r="CI10" s="2">
        <f t="shared" si="6"/>
        <v>31</v>
      </c>
      <c r="CJ10" s="2">
        <f t="shared" si="6"/>
        <v>33</v>
      </c>
      <c r="CK10" s="2">
        <f t="shared" si="6"/>
        <v>36</v>
      </c>
    </row>
    <row r="11" spans="4:89" x14ac:dyDescent="0.25">
      <c r="D11" s="5">
        <v>109</v>
      </c>
      <c r="E11" s="5">
        <v>3</v>
      </c>
      <c r="F11" s="5">
        <v>98</v>
      </c>
      <c r="G11" s="5">
        <v>1</v>
      </c>
      <c r="I11" s="6">
        <v>106</v>
      </c>
      <c r="J11" s="6">
        <v>4</v>
      </c>
      <c r="K11" s="6">
        <v>112</v>
      </c>
      <c r="L11" s="6">
        <v>2</v>
      </c>
      <c r="N11" s="7">
        <v>106</v>
      </c>
      <c r="O11" s="7">
        <v>3</v>
      </c>
      <c r="P11" s="7">
        <v>109</v>
      </c>
      <c r="Q11" s="7">
        <v>3</v>
      </c>
      <c r="U11" s="13">
        <f t="shared" ref="U11:V11" si="7">D50</f>
        <v>96</v>
      </c>
      <c r="V11" s="14">
        <f t="shared" si="7"/>
        <v>5</v>
      </c>
      <c r="W11" s="15">
        <v>0</v>
      </c>
      <c r="Y11" s="44">
        <v>0</v>
      </c>
      <c r="Z11" s="44">
        <v>0</v>
      </c>
      <c r="AA11" s="44">
        <v>0</v>
      </c>
      <c r="AI11" s="14"/>
      <c r="AJ11" s="14"/>
    </row>
    <row r="12" spans="4:89" x14ac:dyDescent="0.25">
      <c r="D12" s="5">
        <v>96</v>
      </c>
      <c r="E12" s="5">
        <v>5</v>
      </c>
      <c r="F12" s="5">
        <v>103</v>
      </c>
      <c r="G12" s="5">
        <v>1</v>
      </c>
      <c r="I12" s="6">
        <v>98</v>
      </c>
      <c r="J12" s="6">
        <v>2</v>
      </c>
      <c r="K12" s="6">
        <v>0</v>
      </c>
      <c r="L12" s="6">
        <v>0</v>
      </c>
      <c r="N12" s="7">
        <v>0</v>
      </c>
      <c r="O12" s="7">
        <v>0</v>
      </c>
      <c r="P12" s="7">
        <v>0</v>
      </c>
      <c r="Q12" s="7">
        <v>0</v>
      </c>
      <c r="U12" s="13">
        <f t="shared" ref="U12:V12" si="8">D51</f>
        <v>0</v>
      </c>
      <c r="V12" s="14">
        <f t="shared" si="8"/>
        <v>0</v>
      </c>
      <c r="W12" s="15">
        <v>0</v>
      </c>
      <c r="Y12" s="44">
        <v>0</v>
      </c>
      <c r="Z12" s="44">
        <v>0</v>
      </c>
      <c r="AA12" s="44">
        <v>0</v>
      </c>
      <c r="AC12" s="45" t="s">
        <v>18</v>
      </c>
      <c r="AI12" s="14"/>
      <c r="AJ12" s="14"/>
    </row>
    <row r="13" spans="4:89" x14ac:dyDescent="0.25">
      <c r="D13" s="5">
        <v>0</v>
      </c>
      <c r="E13" s="5">
        <v>0</v>
      </c>
      <c r="F13" s="5">
        <v>107</v>
      </c>
      <c r="G13" s="5">
        <v>1</v>
      </c>
      <c r="I13" s="6">
        <v>0</v>
      </c>
      <c r="J13" s="6">
        <v>0</v>
      </c>
      <c r="K13" s="6">
        <v>0</v>
      </c>
      <c r="L13" s="6">
        <v>0</v>
      </c>
      <c r="N13" s="7">
        <v>103</v>
      </c>
      <c r="O13" s="7">
        <v>1</v>
      </c>
      <c r="P13" s="7">
        <v>0</v>
      </c>
      <c r="Q13" s="7">
        <v>0</v>
      </c>
      <c r="U13" s="13">
        <f t="shared" ref="U13:V13" si="9">D52</f>
        <v>104</v>
      </c>
      <c r="V13" s="14">
        <f t="shared" si="9"/>
        <v>3</v>
      </c>
      <c r="W13" s="15">
        <v>0</v>
      </c>
      <c r="Y13" s="44">
        <v>0</v>
      </c>
      <c r="Z13" s="44">
        <v>0</v>
      </c>
      <c r="AA13" s="44">
        <v>0</v>
      </c>
      <c r="AC13" s="8" t="str">
        <f>AC4</f>
        <v>price</v>
      </c>
      <c r="AD13" s="8">
        <f t="shared" ref="AD13:CK13" si="10">AD4</f>
        <v>0</v>
      </c>
      <c r="AE13" s="8">
        <f t="shared" si="10"/>
        <v>0</v>
      </c>
      <c r="AF13" s="8">
        <f t="shared" si="10"/>
        <v>0</v>
      </c>
      <c r="AG13" s="8">
        <f t="shared" si="10"/>
        <v>0</v>
      </c>
      <c r="AH13" s="8">
        <f t="shared" si="10"/>
        <v>0</v>
      </c>
      <c r="AI13" s="8">
        <f t="shared" si="10"/>
        <v>0</v>
      </c>
      <c r="AJ13" s="8">
        <f t="shared" si="10"/>
        <v>0</v>
      </c>
      <c r="AK13" s="8">
        <f t="shared" si="10"/>
        <v>0</v>
      </c>
      <c r="AL13" s="8">
        <f t="shared" si="10"/>
        <v>0</v>
      </c>
      <c r="AM13" s="8">
        <f t="shared" si="10"/>
        <v>0</v>
      </c>
      <c r="AN13" s="8">
        <f t="shared" si="10"/>
        <v>0</v>
      </c>
      <c r="AO13" s="8">
        <f t="shared" si="10"/>
        <v>0</v>
      </c>
      <c r="AP13" s="8">
        <f t="shared" si="10"/>
        <v>0</v>
      </c>
      <c r="AQ13" s="8">
        <f t="shared" si="10"/>
        <v>0</v>
      </c>
      <c r="AR13" s="8">
        <f t="shared" si="10"/>
        <v>0</v>
      </c>
      <c r="AS13" s="8">
        <f t="shared" si="10"/>
        <v>0</v>
      </c>
      <c r="AT13" s="8">
        <f t="shared" si="10"/>
        <v>0</v>
      </c>
      <c r="AU13" s="8">
        <f t="shared" si="10"/>
        <v>0</v>
      </c>
      <c r="AV13" s="8">
        <f t="shared" si="10"/>
        <v>0</v>
      </c>
      <c r="AW13" s="8">
        <f t="shared" si="10"/>
        <v>0</v>
      </c>
      <c r="AX13" s="8">
        <f t="shared" si="10"/>
        <v>0</v>
      </c>
      <c r="AY13" s="8">
        <f t="shared" si="10"/>
        <v>0</v>
      </c>
      <c r="AZ13" s="8">
        <f t="shared" si="10"/>
        <v>0</v>
      </c>
      <c r="BA13" s="8">
        <f t="shared" si="10"/>
        <v>85</v>
      </c>
      <c r="BB13" s="8">
        <f t="shared" si="10"/>
        <v>85</v>
      </c>
      <c r="BC13" s="8">
        <f t="shared" si="10"/>
        <v>86</v>
      </c>
      <c r="BD13" s="8">
        <f t="shared" si="10"/>
        <v>88</v>
      </c>
      <c r="BE13" s="8">
        <f t="shared" si="10"/>
        <v>91</v>
      </c>
      <c r="BF13" s="8">
        <f t="shared" si="10"/>
        <v>92</v>
      </c>
      <c r="BG13" s="8">
        <f t="shared" si="10"/>
        <v>92</v>
      </c>
      <c r="BH13" s="8">
        <f t="shared" si="10"/>
        <v>93</v>
      </c>
      <c r="BI13" s="8">
        <f t="shared" si="10"/>
        <v>93</v>
      </c>
      <c r="BJ13" s="8">
        <f t="shared" si="10"/>
        <v>96</v>
      </c>
      <c r="BK13" s="8">
        <f t="shared" si="10"/>
        <v>96</v>
      </c>
      <c r="BL13" s="8">
        <f t="shared" si="10"/>
        <v>97</v>
      </c>
      <c r="BM13" s="8">
        <f t="shared" si="10"/>
        <v>98</v>
      </c>
      <c r="BN13" s="8">
        <f t="shared" si="10"/>
        <v>98</v>
      </c>
      <c r="BO13" s="8">
        <f t="shared" si="10"/>
        <v>98</v>
      </c>
      <c r="BP13" s="8">
        <f t="shared" si="10"/>
        <v>100</v>
      </c>
      <c r="BQ13" s="8">
        <f t="shared" si="10"/>
        <v>100</v>
      </c>
      <c r="BR13" s="8">
        <f t="shared" si="10"/>
        <v>101</v>
      </c>
      <c r="BS13" s="8">
        <f t="shared" si="10"/>
        <v>101</v>
      </c>
      <c r="BT13" s="8">
        <f t="shared" si="10"/>
        <v>103</v>
      </c>
      <c r="BU13" s="8">
        <f t="shared" si="10"/>
        <v>103</v>
      </c>
      <c r="BV13" s="8">
        <f t="shared" si="10"/>
        <v>103</v>
      </c>
      <c r="BW13" s="8">
        <f t="shared" si="10"/>
        <v>103</v>
      </c>
      <c r="BX13" s="8">
        <f t="shared" si="10"/>
        <v>104</v>
      </c>
      <c r="BY13" s="8">
        <f t="shared" si="10"/>
        <v>106</v>
      </c>
      <c r="BZ13" s="8">
        <f t="shared" si="10"/>
        <v>106</v>
      </c>
      <c r="CA13" s="8">
        <f t="shared" si="10"/>
        <v>106</v>
      </c>
      <c r="CB13" s="8">
        <f t="shared" si="10"/>
        <v>106</v>
      </c>
      <c r="CC13" s="8">
        <f t="shared" si="10"/>
        <v>107</v>
      </c>
      <c r="CD13" s="8">
        <f t="shared" si="10"/>
        <v>108</v>
      </c>
      <c r="CE13" s="8">
        <f t="shared" si="10"/>
        <v>109</v>
      </c>
      <c r="CF13" s="8">
        <f t="shared" si="10"/>
        <v>109</v>
      </c>
      <c r="CG13" s="8">
        <f t="shared" si="10"/>
        <v>112</v>
      </c>
      <c r="CH13" s="8">
        <f t="shared" si="10"/>
        <v>116</v>
      </c>
      <c r="CI13" s="8">
        <f t="shared" si="10"/>
        <v>117</v>
      </c>
      <c r="CJ13" s="8">
        <f t="shared" si="10"/>
        <v>119</v>
      </c>
      <c r="CK13" s="8">
        <f t="shared" si="10"/>
        <v>120</v>
      </c>
    </row>
    <row r="14" spans="4:89" x14ac:dyDescent="0.25">
      <c r="D14" s="5">
        <v>104</v>
      </c>
      <c r="E14" s="5">
        <v>3</v>
      </c>
      <c r="F14" s="5">
        <v>0</v>
      </c>
      <c r="G14" s="5">
        <v>0</v>
      </c>
      <c r="I14" s="6">
        <v>0</v>
      </c>
      <c r="J14" s="6">
        <v>0</v>
      </c>
      <c r="K14" s="6">
        <v>0</v>
      </c>
      <c r="L14" s="6">
        <v>0</v>
      </c>
      <c r="N14" s="7">
        <v>93</v>
      </c>
      <c r="O14" s="7">
        <v>2</v>
      </c>
      <c r="P14" s="7">
        <v>106</v>
      </c>
      <c r="Q14" s="7">
        <v>1</v>
      </c>
      <c r="U14" s="16">
        <f t="shared" ref="U14:V14" si="11">D53</f>
        <v>86</v>
      </c>
      <c r="V14" s="17">
        <f t="shared" si="11"/>
        <v>2</v>
      </c>
      <c r="W14" s="18">
        <v>0</v>
      </c>
      <c r="Y14" s="44">
        <v>0</v>
      </c>
      <c r="Z14" s="44">
        <v>0</v>
      </c>
      <c r="AA14" s="44">
        <v>0</v>
      </c>
      <c r="AC14" s="2" t="s">
        <v>16</v>
      </c>
      <c r="AD14" s="2">
        <f t="shared" ref="AD14:CI14" si="12">AE14+AD5</f>
        <v>63</v>
      </c>
      <c r="AE14" s="2">
        <f t="shared" si="12"/>
        <v>63</v>
      </c>
      <c r="AF14" s="2">
        <f t="shared" si="12"/>
        <v>63</v>
      </c>
      <c r="AG14" s="2">
        <f t="shared" si="12"/>
        <v>63</v>
      </c>
      <c r="AH14" s="2">
        <f t="shared" si="12"/>
        <v>63</v>
      </c>
      <c r="AI14" s="2">
        <f t="shared" si="12"/>
        <v>63</v>
      </c>
      <c r="AJ14" s="2">
        <f t="shared" si="12"/>
        <v>63</v>
      </c>
      <c r="AK14" s="2">
        <f t="shared" si="12"/>
        <v>63</v>
      </c>
      <c r="AL14" s="2">
        <f t="shared" si="12"/>
        <v>63</v>
      </c>
      <c r="AM14" s="2">
        <f t="shared" si="12"/>
        <v>63</v>
      </c>
      <c r="AN14" s="2">
        <f t="shared" si="12"/>
        <v>63</v>
      </c>
      <c r="AO14" s="2">
        <f t="shared" si="12"/>
        <v>63</v>
      </c>
      <c r="AP14" s="2">
        <f t="shared" si="12"/>
        <v>63</v>
      </c>
      <c r="AQ14" s="2">
        <f t="shared" si="12"/>
        <v>63</v>
      </c>
      <c r="AR14" s="2">
        <f t="shared" si="12"/>
        <v>63</v>
      </c>
      <c r="AS14" s="2">
        <f t="shared" si="12"/>
        <v>63</v>
      </c>
      <c r="AT14" s="2">
        <f t="shared" si="12"/>
        <v>63</v>
      </c>
      <c r="AU14" s="2">
        <f t="shared" si="12"/>
        <v>63</v>
      </c>
      <c r="AV14" s="2">
        <f t="shared" si="12"/>
        <v>63</v>
      </c>
      <c r="AW14" s="2">
        <f t="shared" si="12"/>
        <v>63</v>
      </c>
      <c r="AX14" s="2">
        <f t="shared" si="12"/>
        <v>63</v>
      </c>
      <c r="AY14" s="2">
        <f t="shared" si="12"/>
        <v>63</v>
      </c>
      <c r="AZ14" s="2">
        <f t="shared" si="12"/>
        <v>63</v>
      </c>
      <c r="BA14" s="2">
        <f t="shared" si="12"/>
        <v>63</v>
      </c>
      <c r="BB14" s="2">
        <f>BC14+BB5</f>
        <v>62</v>
      </c>
      <c r="BC14" s="2">
        <f t="shared" si="12"/>
        <v>60</v>
      </c>
      <c r="BD14" s="2">
        <f t="shared" si="12"/>
        <v>58</v>
      </c>
      <c r="BE14" s="2">
        <f t="shared" si="12"/>
        <v>55</v>
      </c>
      <c r="BF14" s="2">
        <f t="shared" si="12"/>
        <v>50</v>
      </c>
      <c r="BG14" s="2">
        <f t="shared" si="12"/>
        <v>46</v>
      </c>
      <c r="BH14" s="2">
        <f t="shared" si="12"/>
        <v>41</v>
      </c>
      <c r="BI14" s="2">
        <f t="shared" si="12"/>
        <v>39</v>
      </c>
      <c r="BJ14" s="2">
        <f t="shared" si="12"/>
        <v>37</v>
      </c>
      <c r="BK14" s="2">
        <f t="shared" si="12"/>
        <v>32</v>
      </c>
      <c r="BL14" s="2">
        <f t="shared" si="12"/>
        <v>28</v>
      </c>
      <c r="BM14" s="2">
        <f t="shared" si="12"/>
        <v>28</v>
      </c>
      <c r="BN14" s="2">
        <f t="shared" si="12"/>
        <v>26</v>
      </c>
      <c r="BO14" s="2">
        <f t="shared" si="12"/>
        <v>21</v>
      </c>
      <c r="BP14" s="2">
        <f t="shared" si="12"/>
        <v>21</v>
      </c>
      <c r="BQ14" s="2">
        <f t="shared" si="12"/>
        <v>21</v>
      </c>
      <c r="BR14" s="2">
        <f t="shared" si="12"/>
        <v>21</v>
      </c>
      <c r="BS14" s="2">
        <f t="shared" si="12"/>
        <v>20</v>
      </c>
      <c r="BT14" s="2">
        <f t="shared" si="12"/>
        <v>20</v>
      </c>
      <c r="BU14" s="2">
        <f t="shared" si="12"/>
        <v>19</v>
      </c>
      <c r="BV14" s="2">
        <f t="shared" si="12"/>
        <v>18</v>
      </c>
      <c r="BW14" s="2">
        <f t="shared" si="12"/>
        <v>18</v>
      </c>
      <c r="BX14" s="2">
        <f t="shared" si="12"/>
        <v>18</v>
      </c>
      <c r="BY14" s="2">
        <f t="shared" si="12"/>
        <v>15</v>
      </c>
      <c r="BZ14" s="2">
        <f t="shared" si="12"/>
        <v>10</v>
      </c>
      <c r="CA14" s="2">
        <f t="shared" si="12"/>
        <v>6</v>
      </c>
      <c r="CB14" s="2">
        <f t="shared" si="12"/>
        <v>3</v>
      </c>
      <c r="CC14" s="2">
        <f t="shared" si="12"/>
        <v>3</v>
      </c>
      <c r="CD14" s="2">
        <f t="shared" si="12"/>
        <v>3</v>
      </c>
      <c r="CE14" s="2">
        <f t="shared" si="12"/>
        <v>3</v>
      </c>
      <c r="CF14" s="2">
        <f t="shared" si="12"/>
        <v>0</v>
      </c>
      <c r="CG14" s="2">
        <f t="shared" si="12"/>
        <v>0</v>
      </c>
      <c r="CH14" s="2">
        <f t="shared" si="12"/>
        <v>0</v>
      </c>
      <c r="CI14" s="2">
        <f t="shared" si="12"/>
        <v>0</v>
      </c>
      <c r="CJ14" s="2">
        <f>CK14+CJ5</f>
        <v>0</v>
      </c>
      <c r="CK14" s="2">
        <f>CK5</f>
        <v>0</v>
      </c>
    </row>
    <row r="15" spans="4:89" x14ac:dyDescent="0.25">
      <c r="D15" s="5">
        <v>86</v>
      </c>
      <c r="E15" s="5">
        <v>2</v>
      </c>
      <c r="F15" s="5">
        <v>0</v>
      </c>
      <c r="G15" s="5">
        <v>0</v>
      </c>
      <c r="I15" s="6">
        <v>96</v>
      </c>
      <c r="J15" s="6">
        <v>4</v>
      </c>
      <c r="K15" s="6">
        <v>0</v>
      </c>
      <c r="L15" s="6">
        <v>0</v>
      </c>
      <c r="N15" s="7">
        <v>0</v>
      </c>
      <c r="O15" s="7">
        <v>0</v>
      </c>
      <c r="P15" s="7">
        <v>100</v>
      </c>
      <c r="Q15" s="7">
        <v>4</v>
      </c>
      <c r="U15" s="19">
        <f t="shared" ref="U15:V15" si="13">D54</f>
        <v>0</v>
      </c>
      <c r="V15" s="20">
        <f t="shared" si="13"/>
        <v>0</v>
      </c>
      <c r="W15" s="12">
        <v>0</v>
      </c>
      <c r="Y15" s="44">
        <v>0</v>
      </c>
      <c r="Z15" s="44">
        <v>0</v>
      </c>
      <c r="AA15" s="44">
        <v>0</v>
      </c>
      <c r="AI15" s="14"/>
      <c r="AJ15" s="14"/>
    </row>
    <row r="16" spans="4:89" x14ac:dyDescent="0.25">
      <c r="D16" s="5"/>
      <c r="E16" s="5"/>
      <c r="F16" s="5"/>
      <c r="G16" s="5"/>
      <c r="I16" s="6"/>
      <c r="J16" s="6"/>
      <c r="K16" s="6"/>
      <c r="L16" s="6"/>
      <c r="N16" s="7"/>
      <c r="O16" s="7"/>
      <c r="P16" s="7"/>
      <c r="Q16" s="7"/>
      <c r="U16" s="21">
        <f t="shared" ref="U16:V16" si="14">D55</f>
        <v>101</v>
      </c>
      <c r="V16" s="22">
        <f t="shared" si="14"/>
        <v>1</v>
      </c>
      <c r="W16" s="15">
        <v>0</v>
      </c>
      <c r="Y16" s="44">
        <v>0</v>
      </c>
      <c r="Z16" s="44">
        <v>0</v>
      </c>
      <c r="AA16" s="44">
        <v>0</v>
      </c>
      <c r="AI16" s="22"/>
      <c r="AJ16" s="22"/>
    </row>
    <row r="17" spans="4:89" ht="31.5" x14ac:dyDescent="0.25">
      <c r="D17" s="5" t="s">
        <v>7</v>
      </c>
      <c r="E17" s="5" t="s">
        <v>8</v>
      </c>
      <c r="F17" s="5" t="s">
        <v>9</v>
      </c>
      <c r="G17" s="5" t="s">
        <v>10</v>
      </c>
      <c r="I17" s="6" t="s">
        <v>7</v>
      </c>
      <c r="J17" s="6" t="s">
        <v>8</v>
      </c>
      <c r="K17" s="6" t="s">
        <v>9</v>
      </c>
      <c r="L17" s="6" t="s">
        <v>10</v>
      </c>
      <c r="N17" s="7" t="s">
        <v>7</v>
      </c>
      <c r="O17" s="7" t="s">
        <v>8</v>
      </c>
      <c r="P17" s="7" t="s">
        <v>9</v>
      </c>
      <c r="Q17" s="7" t="s">
        <v>10</v>
      </c>
      <c r="U17" s="21">
        <f t="shared" ref="U17:V17" si="15">D56</f>
        <v>88</v>
      </c>
      <c r="V17" s="22">
        <f t="shared" si="15"/>
        <v>3</v>
      </c>
      <c r="W17" s="15">
        <v>0</v>
      </c>
      <c r="Y17" s="44">
        <v>0</v>
      </c>
      <c r="Z17" s="44">
        <v>0</v>
      </c>
      <c r="AA17" s="44">
        <v>0</v>
      </c>
      <c r="AC17" s="2" t="s">
        <v>19</v>
      </c>
      <c r="AD17" s="2">
        <f>IF(AD10&gt;AD14,AD14,AD10)</f>
        <v>0</v>
      </c>
      <c r="AE17" s="2">
        <f t="shared" ref="AE17:CK17" si="16">IF(AE10&gt;AE14,AE14,AE10)</f>
        <v>0</v>
      </c>
      <c r="AF17" s="2">
        <f t="shared" si="16"/>
        <v>0</v>
      </c>
      <c r="AG17" s="2">
        <f t="shared" si="16"/>
        <v>0</v>
      </c>
      <c r="AH17" s="2">
        <f t="shared" si="16"/>
        <v>0</v>
      </c>
      <c r="AI17" s="2">
        <f t="shared" si="16"/>
        <v>0</v>
      </c>
      <c r="AJ17" s="2">
        <f t="shared" si="16"/>
        <v>0</v>
      </c>
      <c r="AK17" s="2">
        <f t="shared" si="16"/>
        <v>0</v>
      </c>
      <c r="AL17" s="2">
        <f t="shared" si="16"/>
        <v>0</v>
      </c>
      <c r="AM17" s="2">
        <f t="shared" si="16"/>
        <v>0</v>
      </c>
      <c r="AN17" s="2">
        <f t="shared" si="16"/>
        <v>0</v>
      </c>
      <c r="AO17" s="2">
        <f t="shared" si="16"/>
        <v>0</v>
      </c>
      <c r="AP17" s="2">
        <f t="shared" si="16"/>
        <v>0</v>
      </c>
      <c r="AQ17" s="2">
        <f t="shared" si="16"/>
        <v>0</v>
      </c>
      <c r="AR17" s="2">
        <f t="shared" si="16"/>
        <v>0</v>
      </c>
      <c r="AS17" s="2">
        <f t="shared" si="16"/>
        <v>0</v>
      </c>
      <c r="AT17" s="2">
        <f t="shared" si="16"/>
        <v>0</v>
      </c>
      <c r="AU17" s="2">
        <f t="shared" si="16"/>
        <v>0</v>
      </c>
      <c r="AV17" s="2">
        <f t="shared" si="16"/>
        <v>0</v>
      </c>
      <c r="AW17" s="2">
        <f t="shared" si="16"/>
        <v>0</v>
      </c>
      <c r="AX17" s="2">
        <f t="shared" si="16"/>
        <v>0</v>
      </c>
      <c r="AY17" s="2">
        <f t="shared" si="16"/>
        <v>0</v>
      </c>
      <c r="AZ17" s="2">
        <f t="shared" si="16"/>
        <v>0</v>
      </c>
      <c r="BA17" s="2">
        <f t="shared" si="16"/>
        <v>0</v>
      </c>
      <c r="BB17" s="2">
        <f t="shared" si="16"/>
        <v>0</v>
      </c>
      <c r="BC17" s="2">
        <f t="shared" si="16"/>
        <v>0</v>
      </c>
      <c r="BD17" s="2">
        <f t="shared" si="16"/>
        <v>0</v>
      </c>
      <c r="BE17" s="2">
        <f t="shared" si="16"/>
        <v>0</v>
      </c>
      <c r="BF17" s="2">
        <f t="shared" si="16"/>
        <v>0</v>
      </c>
      <c r="BG17" s="2">
        <f t="shared" si="16"/>
        <v>0</v>
      </c>
      <c r="BH17" s="2">
        <f t="shared" si="16"/>
        <v>0</v>
      </c>
      <c r="BI17" s="2">
        <f t="shared" si="16"/>
        <v>0</v>
      </c>
      <c r="BJ17" s="2">
        <f t="shared" si="16"/>
        <v>0</v>
      </c>
      <c r="BK17" s="2">
        <f t="shared" si="16"/>
        <v>0</v>
      </c>
      <c r="BL17" s="2">
        <f t="shared" si="16"/>
        <v>4</v>
      </c>
      <c r="BM17" s="2">
        <f t="shared" si="16"/>
        <v>4</v>
      </c>
      <c r="BN17" s="2">
        <f t="shared" si="16"/>
        <v>4</v>
      </c>
      <c r="BO17" s="2">
        <f t="shared" si="16"/>
        <v>5</v>
      </c>
      <c r="BP17" s="2">
        <f t="shared" si="16"/>
        <v>6</v>
      </c>
      <c r="BQ17" s="2">
        <f t="shared" si="16"/>
        <v>10</v>
      </c>
      <c r="BR17" s="2">
        <f t="shared" si="16"/>
        <v>10</v>
      </c>
      <c r="BS17" s="2">
        <f t="shared" si="16"/>
        <v>12</v>
      </c>
      <c r="BT17" s="2">
        <f t="shared" si="16"/>
        <v>12</v>
      </c>
      <c r="BU17" s="2">
        <f t="shared" si="16"/>
        <v>12</v>
      </c>
      <c r="BV17" s="2">
        <f t="shared" si="16"/>
        <v>14</v>
      </c>
      <c r="BW17" s="2">
        <f t="shared" si="16"/>
        <v>15</v>
      </c>
      <c r="BX17" s="2">
        <f t="shared" si="16"/>
        <v>15</v>
      </c>
      <c r="BY17" s="2">
        <f t="shared" si="16"/>
        <v>15</v>
      </c>
      <c r="BZ17" s="2">
        <f t="shared" si="16"/>
        <v>10</v>
      </c>
      <c r="CA17" s="2">
        <f t="shared" si="16"/>
        <v>6</v>
      </c>
      <c r="CB17" s="2">
        <f t="shared" si="16"/>
        <v>3</v>
      </c>
      <c r="CC17" s="2">
        <f t="shared" si="16"/>
        <v>3</v>
      </c>
      <c r="CD17" s="2">
        <f t="shared" si="16"/>
        <v>3</v>
      </c>
      <c r="CE17" s="2">
        <f t="shared" si="16"/>
        <v>3</v>
      </c>
      <c r="CF17" s="2">
        <f t="shared" si="16"/>
        <v>0</v>
      </c>
      <c r="CG17" s="2">
        <f t="shared" si="16"/>
        <v>0</v>
      </c>
      <c r="CH17" s="2">
        <f t="shared" si="16"/>
        <v>0</v>
      </c>
      <c r="CI17" s="2">
        <f t="shared" si="16"/>
        <v>0</v>
      </c>
      <c r="CJ17" s="2">
        <f t="shared" si="16"/>
        <v>0</v>
      </c>
      <c r="CK17" s="2">
        <f t="shared" si="16"/>
        <v>0</v>
      </c>
    </row>
    <row r="18" spans="4:89" x14ac:dyDescent="0.25">
      <c r="D18" s="5">
        <v>0</v>
      </c>
      <c r="E18" s="5">
        <v>0</v>
      </c>
      <c r="F18" s="5">
        <v>0</v>
      </c>
      <c r="G18" s="5">
        <v>0</v>
      </c>
      <c r="I18" s="6">
        <v>0</v>
      </c>
      <c r="J18" s="6">
        <v>0</v>
      </c>
      <c r="K18" s="6">
        <v>202</v>
      </c>
      <c r="L18" s="6">
        <v>2</v>
      </c>
      <c r="N18" s="7">
        <v>0</v>
      </c>
      <c r="O18" s="7">
        <v>0</v>
      </c>
      <c r="P18" s="7">
        <v>0</v>
      </c>
      <c r="Q18" s="7">
        <v>0</v>
      </c>
      <c r="U18" s="21">
        <f t="shared" ref="U18:V18" si="17">D57</f>
        <v>103</v>
      </c>
      <c r="V18" s="22">
        <f t="shared" si="17"/>
        <v>1</v>
      </c>
      <c r="W18" s="15">
        <v>0</v>
      </c>
      <c r="Y18" s="44">
        <v>0</v>
      </c>
      <c r="Z18" s="44">
        <v>0</v>
      </c>
      <c r="AA18" s="44">
        <v>0</v>
      </c>
      <c r="AI18" s="22"/>
      <c r="AJ18" s="22"/>
    </row>
    <row r="19" spans="4:89" x14ac:dyDescent="0.25">
      <c r="D19" s="5">
        <v>0</v>
      </c>
      <c r="E19" s="5">
        <v>0</v>
      </c>
      <c r="F19" s="5">
        <v>0</v>
      </c>
      <c r="G19" s="5">
        <v>0</v>
      </c>
      <c r="I19" s="6">
        <v>202</v>
      </c>
      <c r="J19" s="6">
        <v>2</v>
      </c>
      <c r="K19" s="6">
        <v>213</v>
      </c>
      <c r="L19" s="6">
        <v>2</v>
      </c>
      <c r="N19" s="7">
        <v>0</v>
      </c>
      <c r="O19" s="7">
        <v>0</v>
      </c>
      <c r="P19" s="7">
        <v>0</v>
      </c>
      <c r="Q19" s="7">
        <v>0</v>
      </c>
      <c r="U19" s="21">
        <f t="shared" ref="U19:V19" si="18">D58</f>
        <v>0</v>
      </c>
      <c r="V19" s="22">
        <f t="shared" si="18"/>
        <v>0</v>
      </c>
      <c r="W19" s="15">
        <v>0</v>
      </c>
      <c r="Y19" s="44">
        <v>0</v>
      </c>
      <c r="Z19" s="44">
        <v>0</v>
      </c>
      <c r="AA19" s="44">
        <v>0</v>
      </c>
      <c r="AC19" s="47" t="s">
        <v>20</v>
      </c>
      <c r="AI19" s="22"/>
      <c r="AJ19" s="22"/>
    </row>
    <row r="20" spans="4:89" x14ac:dyDescent="0.25">
      <c r="D20" s="5">
        <v>196</v>
      </c>
      <c r="E20" s="5">
        <v>2</v>
      </c>
      <c r="F20" s="5">
        <v>206</v>
      </c>
      <c r="G20" s="5">
        <v>3</v>
      </c>
      <c r="I20" s="6">
        <v>186</v>
      </c>
      <c r="J20" s="6">
        <v>2</v>
      </c>
      <c r="K20" s="6">
        <v>0</v>
      </c>
      <c r="L20" s="6">
        <v>0</v>
      </c>
      <c r="N20" s="7">
        <v>0</v>
      </c>
      <c r="O20" s="7">
        <v>0</v>
      </c>
      <c r="P20" s="7">
        <v>212</v>
      </c>
      <c r="Q20" s="7">
        <v>3</v>
      </c>
      <c r="U20" s="21">
        <f t="shared" ref="U20:V20" si="19">D59</f>
        <v>106</v>
      </c>
      <c r="V20" s="22">
        <f t="shared" si="19"/>
        <v>4</v>
      </c>
      <c r="W20" s="15">
        <v>0</v>
      </c>
      <c r="Y20" s="44">
        <v>0</v>
      </c>
      <c r="Z20" s="44">
        <v>0</v>
      </c>
      <c r="AA20" s="44">
        <v>0</v>
      </c>
      <c r="AC20" s="2" t="s">
        <v>14</v>
      </c>
      <c r="AD20" s="2">
        <v>85</v>
      </c>
      <c r="AE20" s="2">
        <v>85</v>
      </c>
      <c r="AF20" s="2">
        <v>86</v>
      </c>
      <c r="AG20" s="2">
        <v>88</v>
      </c>
      <c r="AH20" s="2">
        <v>91</v>
      </c>
      <c r="AI20" s="2">
        <v>92</v>
      </c>
      <c r="AJ20" s="2">
        <v>92</v>
      </c>
      <c r="AK20" s="2">
        <v>93</v>
      </c>
      <c r="AL20" s="2">
        <v>93</v>
      </c>
      <c r="AM20" s="2">
        <v>96</v>
      </c>
      <c r="AN20" s="2">
        <v>96</v>
      </c>
      <c r="AO20" s="2">
        <v>97</v>
      </c>
      <c r="AP20" s="2">
        <v>98</v>
      </c>
      <c r="AQ20" s="2">
        <v>98</v>
      </c>
      <c r="AR20" s="2">
        <v>98</v>
      </c>
      <c r="AS20" s="2">
        <v>100</v>
      </c>
      <c r="AT20" s="2">
        <v>100</v>
      </c>
      <c r="AU20" s="2">
        <v>101</v>
      </c>
      <c r="AV20" s="2">
        <v>101</v>
      </c>
      <c r="AW20" s="2">
        <v>103</v>
      </c>
      <c r="AX20" s="2">
        <v>103</v>
      </c>
      <c r="AY20" s="2">
        <v>103</v>
      </c>
      <c r="AZ20" s="48">
        <v>103</v>
      </c>
      <c r="BA20" s="48">
        <v>104</v>
      </c>
      <c r="BB20" s="48">
        <v>106</v>
      </c>
      <c r="BC20" s="2">
        <v>106</v>
      </c>
      <c r="BD20" s="2">
        <v>106</v>
      </c>
      <c r="BE20" s="2">
        <v>106</v>
      </c>
      <c r="BF20" s="2">
        <v>107</v>
      </c>
      <c r="BG20" s="2">
        <v>108</v>
      </c>
      <c r="BH20" s="2">
        <v>109</v>
      </c>
      <c r="BI20" s="2">
        <v>109</v>
      </c>
      <c r="BJ20" s="2">
        <v>112</v>
      </c>
      <c r="BK20" s="2">
        <v>116</v>
      </c>
      <c r="BL20" s="2">
        <v>117</v>
      </c>
      <c r="BM20" s="2">
        <v>119</v>
      </c>
      <c r="BN20" s="2">
        <v>120</v>
      </c>
    </row>
    <row r="21" spans="4:89" ht="31.5" x14ac:dyDescent="0.25">
      <c r="D21" s="5">
        <v>206</v>
      </c>
      <c r="E21" s="5">
        <v>1</v>
      </c>
      <c r="F21" s="5">
        <v>214</v>
      </c>
      <c r="G21" s="5">
        <v>2</v>
      </c>
      <c r="I21" s="6">
        <v>195</v>
      </c>
      <c r="J21" s="6">
        <v>1</v>
      </c>
      <c r="K21" s="6">
        <v>211</v>
      </c>
      <c r="L21" s="6">
        <v>2</v>
      </c>
      <c r="N21" s="7">
        <v>0</v>
      </c>
      <c r="O21" s="7">
        <v>0</v>
      </c>
      <c r="P21" s="7">
        <v>199</v>
      </c>
      <c r="Q21" s="7">
        <v>3</v>
      </c>
      <c r="U21" s="21">
        <f t="shared" ref="U21:V21" si="20">D60</f>
        <v>98</v>
      </c>
      <c r="V21" s="22">
        <f t="shared" si="20"/>
        <v>2</v>
      </c>
      <c r="W21" s="15">
        <v>0</v>
      </c>
      <c r="Y21" s="44">
        <v>0</v>
      </c>
      <c r="Z21" s="44">
        <v>0</v>
      </c>
      <c r="AA21" s="44">
        <v>0</v>
      </c>
      <c r="AC21" s="2" t="s">
        <v>19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</v>
      </c>
      <c r="AM21" s="2">
        <v>0</v>
      </c>
      <c r="AN21" s="2">
        <v>0</v>
      </c>
      <c r="AO21" s="2">
        <v>4</v>
      </c>
      <c r="AP21" s="2">
        <v>4</v>
      </c>
      <c r="AQ21" s="2">
        <v>4</v>
      </c>
      <c r="AR21" s="2">
        <v>5</v>
      </c>
      <c r="AS21" s="2">
        <v>6</v>
      </c>
      <c r="AT21" s="2">
        <v>10</v>
      </c>
      <c r="AU21" s="2">
        <v>10</v>
      </c>
      <c r="AV21" s="2">
        <v>12</v>
      </c>
      <c r="AW21" s="2">
        <v>12</v>
      </c>
      <c r="AX21" s="2">
        <v>12</v>
      </c>
      <c r="AY21" s="2">
        <v>14</v>
      </c>
      <c r="AZ21" s="48">
        <v>15</v>
      </c>
      <c r="BA21" s="48">
        <v>15</v>
      </c>
      <c r="BB21" s="48">
        <v>15</v>
      </c>
      <c r="BC21" s="2">
        <v>10</v>
      </c>
      <c r="BD21" s="2">
        <v>6</v>
      </c>
      <c r="BE21" s="2">
        <v>3</v>
      </c>
      <c r="BF21" s="2">
        <v>3</v>
      </c>
      <c r="BG21" s="2">
        <v>3</v>
      </c>
      <c r="BH21" s="2">
        <v>3</v>
      </c>
      <c r="BI21" s="2">
        <v>0</v>
      </c>
      <c r="BJ21" s="2">
        <v>0</v>
      </c>
      <c r="BK21" s="2">
        <v>0</v>
      </c>
      <c r="BL21" s="2">
        <v>0</v>
      </c>
      <c r="BM21" s="2">
        <v>0</v>
      </c>
      <c r="BN21" s="2">
        <v>0</v>
      </c>
    </row>
    <row r="22" spans="4:89" x14ac:dyDescent="0.25">
      <c r="D22" s="5">
        <v>199</v>
      </c>
      <c r="E22" s="5">
        <v>4</v>
      </c>
      <c r="F22" s="5">
        <v>203</v>
      </c>
      <c r="G22" s="5">
        <v>5</v>
      </c>
      <c r="I22" s="6">
        <v>202</v>
      </c>
      <c r="J22" s="6">
        <v>2</v>
      </c>
      <c r="K22" s="6">
        <v>218</v>
      </c>
      <c r="L22" s="6">
        <v>5</v>
      </c>
      <c r="N22" s="7">
        <v>202</v>
      </c>
      <c r="O22" s="7">
        <v>2</v>
      </c>
      <c r="P22" s="7">
        <v>203</v>
      </c>
      <c r="Q22" s="7">
        <v>3</v>
      </c>
      <c r="U22" s="21">
        <f t="shared" ref="U22:V22" si="21">D61</f>
        <v>0</v>
      </c>
      <c r="V22" s="22">
        <f t="shared" si="21"/>
        <v>0</v>
      </c>
      <c r="W22" s="15">
        <v>0</v>
      </c>
      <c r="Y22" s="44">
        <v>0</v>
      </c>
      <c r="Z22" s="44">
        <v>0</v>
      </c>
      <c r="AA22" s="44">
        <v>0</v>
      </c>
      <c r="AI22" s="22"/>
      <c r="AJ22" s="22"/>
      <c r="AZ22" s="46" t="s">
        <v>26</v>
      </c>
      <c r="BB22" s="46" t="s">
        <v>25</v>
      </c>
    </row>
    <row r="23" spans="4:89" x14ac:dyDescent="0.25">
      <c r="D23" s="5">
        <v>209</v>
      </c>
      <c r="E23" s="5">
        <v>1</v>
      </c>
      <c r="F23" s="5">
        <v>202</v>
      </c>
      <c r="G23" s="5">
        <v>1</v>
      </c>
      <c r="I23" s="6">
        <v>200</v>
      </c>
      <c r="J23" s="6">
        <v>4</v>
      </c>
      <c r="K23" s="6">
        <v>201</v>
      </c>
      <c r="L23" s="6">
        <v>1</v>
      </c>
      <c r="N23" s="7">
        <v>0</v>
      </c>
      <c r="O23" s="7">
        <v>0</v>
      </c>
      <c r="P23" s="7">
        <v>0</v>
      </c>
      <c r="Q23" s="7">
        <v>0</v>
      </c>
      <c r="U23" s="21">
        <f t="shared" ref="U23:V23" si="22">D62</f>
        <v>0</v>
      </c>
      <c r="V23" s="22">
        <f t="shared" si="22"/>
        <v>0</v>
      </c>
      <c r="W23" s="15">
        <v>0</v>
      </c>
      <c r="Y23" s="44">
        <v>0</v>
      </c>
      <c r="Z23" s="44">
        <v>0</v>
      </c>
      <c r="AA23" s="44">
        <v>0</v>
      </c>
      <c r="AC23" s="47" t="s">
        <v>21</v>
      </c>
      <c r="AI23" s="22"/>
      <c r="AJ23" s="22"/>
    </row>
    <row r="24" spans="4:89" x14ac:dyDescent="0.25">
      <c r="D24" s="5">
        <v>0</v>
      </c>
      <c r="E24" s="5">
        <v>0</v>
      </c>
      <c r="F24" s="5">
        <v>197</v>
      </c>
      <c r="G24" s="5">
        <v>2</v>
      </c>
      <c r="I24" s="6">
        <v>198</v>
      </c>
      <c r="J24" s="6">
        <v>4</v>
      </c>
      <c r="K24" s="6">
        <v>209</v>
      </c>
      <c r="L24" s="6">
        <v>1</v>
      </c>
      <c r="N24" s="7">
        <v>193</v>
      </c>
      <c r="O24" s="7">
        <v>5</v>
      </c>
      <c r="P24" s="7">
        <v>0</v>
      </c>
      <c r="Q24" s="7">
        <v>0</v>
      </c>
      <c r="U24" s="23">
        <f t="shared" ref="U24:V24" si="23">D63</f>
        <v>96</v>
      </c>
      <c r="V24" s="24">
        <f t="shared" si="23"/>
        <v>4</v>
      </c>
      <c r="W24" s="18">
        <v>0</v>
      </c>
      <c r="Y24" s="44">
        <v>0</v>
      </c>
      <c r="Z24" s="44">
        <v>0</v>
      </c>
      <c r="AA24" s="44">
        <v>0</v>
      </c>
      <c r="AC24" s="47" t="s">
        <v>22</v>
      </c>
      <c r="AI24" s="22"/>
      <c r="AJ24" s="22"/>
    </row>
    <row r="25" spans="4:89" x14ac:dyDescent="0.25">
      <c r="D25" s="5">
        <v>0</v>
      </c>
      <c r="E25" s="5">
        <v>0</v>
      </c>
      <c r="F25" s="5">
        <v>217</v>
      </c>
      <c r="G25" s="5">
        <v>3</v>
      </c>
      <c r="I25" s="6">
        <v>0</v>
      </c>
      <c r="J25" s="6">
        <v>0</v>
      </c>
      <c r="K25" s="6">
        <v>0</v>
      </c>
      <c r="L25" s="6">
        <v>0</v>
      </c>
      <c r="N25" s="7">
        <v>186</v>
      </c>
      <c r="O25" s="7">
        <v>1</v>
      </c>
      <c r="P25" s="7">
        <v>0</v>
      </c>
      <c r="Q25" s="7">
        <v>0</v>
      </c>
      <c r="U25" s="25">
        <f t="shared" ref="U25:V25" si="24">D64</f>
        <v>0</v>
      </c>
      <c r="V25" s="26">
        <f t="shared" si="24"/>
        <v>0</v>
      </c>
      <c r="W25" s="12">
        <v>0</v>
      </c>
      <c r="Y25" s="44">
        <v>0</v>
      </c>
      <c r="Z25" s="44">
        <v>0</v>
      </c>
      <c r="AA25" s="44">
        <v>0</v>
      </c>
      <c r="AI25" s="22"/>
      <c r="AJ25" s="22"/>
    </row>
    <row r="26" spans="4:89" x14ac:dyDescent="0.25">
      <c r="D26" s="5">
        <v>205</v>
      </c>
      <c r="E26" s="5">
        <v>4</v>
      </c>
      <c r="F26" s="5">
        <v>199</v>
      </c>
      <c r="G26" s="5">
        <v>3</v>
      </c>
      <c r="I26" s="6">
        <v>195</v>
      </c>
      <c r="J26" s="6">
        <v>1</v>
      </c>
      <c r="K26" s="6">
        <v>202</v>
      </c>
      <c r="L26" s="6">
        <v>2</v>
      </c>
      <c r="N26" s="7">
        <v>0</v>
      </c>
      <c r="O26" s="7">
        <v>0</v>
      </c>
      <c r="P26" s="7">
        <v>0</v>
      </c>
      <c r="Q26" s="7">
        <v>0</v>
      </c>
      <c r="U26" s="27">
        <f t="shared" ref="U26:V26" si="25">D65</f>
        <v>92</v>
      </c>
      <c r="V26" s="28">
        <f t="shared" si="25"/>
        <v>4</v>
      </c>
      <c r="W26" s="15">
        <v>0</v>
      </c>
      <c r="Y26" s="44">
        <v>0</v>
      </c>
      <c r="Z26" s="44">
        <v>0</v>
      </c>
      <c r="AA26" s="44">
        <v>0</v>
      </c>
      <c r="AC26" s="47" t="s">
        <v>23</v>
      </c>
      <c r="AI26" s="28"/>
      <c r="AJ26" s="28"/>
    </row>
    <row r="27" spans="4:89" x14ac:dyDescent="0.25">
      <c r="D27" s="5">
        <v>202</v>
      </c>
      <c r="E27" s="5">
        <v>3</v>
      </c>
      <c r="F27" s="5">
        <v>0</v>
      </c>
      <c r="G27" s="5">
        <v>0</v>
      </c>
      <c r="I27" s="6">
        <v>198</v>
      </c>
      <c r="J27" s="6">
        <v>2</v>
      </c>
      <c r="K27" s="6">
        <v>203</v>
      </c>
      <c r="L27" s="6">
        <v>4</v>
      </c>
      <c r="N27" s="7">
        <v>189</v>
      </c>
      <c r="O27" s="7">
        <v>3</v>
      </c>
      <c r="P27" s="7">
        <v>200</v>
      </c>
      <c r="Q27" s="7">
        <v>4</v>
      </c>
      <c r="U27" s="27">
        <f t="shared" ref="U27:V27" si="26">D66</f>
        <v>92</v>
      </c>
      <c r="V27" s="28">
        <f t="shared" si="26"/>
        <v>5</v>
      </c>
      <c r="W27" s="15">
        <v>0</v>
      </c>
      <c r="Y27" s="44">
        <v>0</v>
      </c>
      <c r="Z27" s="44">
        <v>0</v>
      </c>
      <c r="AA27" s="44">
        <v>0</v>
      </c>
      <c r="AI27" s="28"/>
      <c r="AJ27" s="28"/>
    </row>
    <row r="28" spans="4:89" x14ac:dyDescent="0.25">
      <c r="D28" s="5"/>
      <c r="E28" s="5"/>
      <c r="F28" s="5"/>
      <c r="G28" s="5"/>
      <c r="I28" s="6"/>
      <c r="J28" s="6"/>
      <c r="K28" s="6"/>
      <c r="L28" s="6"/>
      <c r="N28" s="7"/>
      <c r="O28" s="7"/>
      <c r="P28" s="7"/>
      <c r="Q28" s="7"/>
      <c r="U28" s="27">
        <f t="shared" ref="U28:V28" si="27">D67</f>
        <v>98</v>
      </c>
      <c r="V28" s="28">
        <f t="shared" si="27"/>
        <v>5</v>
      </c>
      <c r="W28" s="15">
        <v>0</v>
      </c>
      <c r="Y28" s="44">
        <v>85</v>
      </c>
      <c r="Z28" s="44">
        <v>1</v>
      </c>
      <c r="AA28" s="44">
        <v>0</v>
      </c>
      <c r="AC28" s="47" t="s">
        <v>24</v>
      </c>
      <c r="AI28" s="28"/>
      <c r="AJ28" s="28"/>
    </row>
    <row r="29" spans="4:89" x14ac:dyDescent="0.25">
      <c r="D29" s="5" t="s">
        <v>7</v>
      </c>
      <c r="E29" s="5" t="s">
        <v>8</v>
      </c>
      <c r="F29" s="5" t="s">
        <v>9</v>
      </c>
      <c r="G29" s="5" t="s">
        <v>10</v>
      </c>
      <c r="I29" s="6" t="s">
        <v>7</v>
      </c>
      <c r="J29" s="6" t="s">
        <v>8</v>
      </c>
      <c r="K29" s="6" t="s">
        <v>9</v>
      </c>
      <c r="L29" s="6" t="s">
        <v>10</v>
      </c>
      <c r="N29" s="7" t="s">
        <v>7</v>
      </c>
      <c r="O29" s="7" t="s">
        <v>8</v>
      </c>
      <c r="P29" s="7" t="s">
        <v>9</v>
      </c>
      <c r="Q29" s="7" t="s">
        <v>10</v>
      </c>
      <c r="U29" s="27">
        <f t="shared" ref="U29:V29" si="28">D68</f>
        <v>93</v>
      </c>
      <c r="V29" s="28">
        <f t="shared" si="28"/>
        <v>2</v>
      </c>
      <c r="W29" s="15">
        <v>0</v>
      </c>
      <c r="Y29" s="44">
        <v>85</v>
      </c>
      <c r="Z29" s="44">
        <v>2</v>
      </c>
      <c r="AA29" s="44">
        <v>0</v>
      </c>
      <c r="AI29" s="28"/>
      <c r="AJ29" s="28"/>
    </row>
    <row r="30" spans="4:89" x14ac:dyDescent="0.25">
      <c r="D30" s="5">
        <v>0</v>
      </c>
      <c r="E30" s="5">
        <v>0</v>
      </c>
      <c r="F30" s="5">
        <v>63</v>
      </c>
      <c r="G30" s="5">
        <v>4</v>
      </c>
      <c r="I30" s="6">
        <v>49</v>
      </c>
      <c r="J30" s="6">
        <v>5</v>
      </c>
      <c r="K30" s="6">
        <v>0</v>
      </c>
      <c r="L30" s="6">
        <v>0</v>
      </c>
      <c r="N30" s="7">
        <v>35</v>
      </c>
      <c r="O30" s="7">
        <v>1</v>
      </c>
      <c r="P30" s="7">
        <v>47</v>
      </c>
      <c r="Q30" s="7">
        <v>2</v>
      </c>
      <c r="U30" s="27">
        <f t="shared" ref="U30:V30" si="29">D69</f>
        <v>106</v>
      </c>
      <c r="V30" s="28">
        <f t="shared" si="29"/>
        <v>3</v>
      </c>
      <c r="W30" s="15">
        <v>0</v>
      </c>
      <c r="Y30" s="44">
        <v>86</v>
      </c>
      <c r="Z30" s="44">
        <v>2</v>
      </c>
      <c r="AA30" s="44">
        <v>0</v>
      </c>
      <c r="AI30" s="28"/>
      <c r="AJ30" s="28"/>
    </row>
    <row r="31" spans="4:89" x14ac:dyDescent="0.25">
      <c r="D31" s="5">
        <v>39</v>
      </c>
      <c r="E31" s="5">
        <v>5</v>
      </c>
      <c r="F31" s="5">
        <v>0</v>
      </c>
      <c r="G31" s="5">
        <v>0</v>
      </c>
      <c r="I31" s="6">
        <v>52</v>
      </c>
      <c r="J31" s="6">
        <v>1</v>
      </c>
      <c r="K31" s="6">
        <v>0</v>
      </c>
      <c r="L31" s="6">
        <v>0</v>
      </c>
      <c r="N31" s="7">
        <v>53</v>
      </c>
      <c r="O31" s="7">
        <v>5</v>
      </c>
      <c r="P31" s="7">
        <v>0</v>
      </c>
      <c r="Q31" s="7">
        <v>0</v>
      </c>
      <c r="U31" s="27">
        <f t="shared" ref="U31:V31" si="30">D70</f>
        <v>0</v>
      </c>
      <c r="V31" s="28">
        <f t="shared" si="30"/>
        <v>0</v>
      </c>
      <c r="W31" s="15">
        <v>0</v>
      </c>
      <c r="Y31" s="44">
        <v>88</v>
      </c>
      <c r="Z31" s="44">
        <v>3</v>
      </c>
      <c r="AA31" s="44">
        <v>0</v>
      </c>
      <c r="AI31" s="28"/>
      <c r="AJ31" s="28"/>
    </row>
    <row r="32" spans="4:89" x14ac:dyDescent="0.25">
      <c r="D32" s="5">
        <v>38</v>
      </c>
      <c r="E32" s="5">
        <v>2</v>
      </c>
      <c r="F32" s="5">
        <v>0</v>
      </c>
      <c r="G32" s="5">
        <v>0</v>
      </c>
      <c r="I32" s="6">
        <v>0</v>
      </c>
      <c r="J32" s="6">
        <v>0</v>
      </c>
      <c r="K32" s="6">
        <v>0</v>
      </c>
      <c r="L32" s="6">
        <v>0</v>
      </c>
      <c r="N32" s="7">
        <v>44</v>
      </c>
      <c r="O32" s="7">
        <v>3</v>
      </c>
      <c r="P32" s="7">
        <v>70</v>
      </c>
      <c r="Q32" s="7">
        <v>1</v>
      </c>
      <c r="U32" s="27">
        <f t="shared" ref="U32:V32" si="31">D71</f>
        <v>103</v>
      </c>
      <c r="V32" s="28">
        <f t="shared" si="31"/>
        <v>1</v>
      </c>
      <c r="W32" s="15">
        <v>0</v>
      </c>
      <c r="Y32" s="44">
        <v>91</v>
      </c>
      <c r="Z32" s="44">
        <v>5</v>
      </c>
      <c r="AA32" s="44">
        <v>0</v>
      </c>
      <c r="AI32" s="28"/>
      <c r="AJ32" s="28"/>
    </row>
    <row r="33" spans="4:37" x14ac:dyDescent="0.25">
      <c r="D33" s="5">
        <v>0</v>
      </c>
      <c r="E33" s="5">
        <v>0</v>
      </c>
      <c r="F33" s="5">
        <v>0</v>
      </c>
      <c r="G33" s="5">
        <v>0</v>
      </c>
      <c r="I33" s="6">
        <v>0</v>
      </c>
      <c r="J33" s="6">
        <v>0</v>
      </c>
      <c r="K33" s="6">
        <v>60</v>
      </c>
      <c r="L33" s="6">
        <v>4</v>
      </c>
      <c r="N33" s="7">
        <v>0</v>
      </c>
      <c r="O33" s="7">
        <v>0</v>
      </c>
      <c r="P33" s="7">
        <v>52</v>
      </c>
      <c r="Q33" s="7">
        <v>1</v>
      </c>
      <c r="U33" s="27">
        <f t="shared" ref="U33:V33" si="32">D72</f>
        <v>93</v>
      </c>
      <c r="V33" s="28">
        <f t="shared" si="32"/>
        <v>2</v>
      </c>
      <c r="W33" s="15">
        <v>0</v>
      </c>
      <c r="Y33" s="44">
        <v>92</v>
      </c>
      <c r="Z33" s="44">
        <v>4</v>
      </c>
      <c r="AA33" s="44">
        <v>0</v>
      </c>
      <c r="AI33" s="28"/>
      <c r="AJ33" s="28"/>
    </row>
    <row r="34" spans="4:37" x14ac:dyDescent="0.25">
      <c r="D34" s="5">
        <v>47</v>
      </c>
      <c r="E34" s="5">
        <v>5</v>
      </c>
      <c r="F34" s="5">
        <v>59</v>
      </c>
      <c r="G34" s="5">
        <v>5</v>
      </c>
      <c r="I34" s="6">
        <v>36</v>
      </c>
      <c r="J34" s="6">
        <v>2</v>
      </c>
      <c r="K34" s="6">
        <v>57</v>
      </c>
      <c r="L34" s="6">
        <v>1</v>
      </c>
      <c r="N34" s="7">
        <v>48</v>
      </c>
      <c r="O34" s="7">
        <v>5</v>
      </c>
      <c r="P34" s="7">
        <v>68</v>
      </c>
      <c r="Q34" s="7">
        <v>2</v>
      </c>
      <c r="U34" s="27">
        <f t="shared" ref="U34:V34" si="33">D73</f>
        <v>0</v>
      </c>
      <c r="V34" s="28">
        <f t="shared" si="33"/>
        <v>0</v>
      </c>
      <c r="W34" s="15">
        <v>0</v>
      </c>
      <c r="Y34" s="44">
        <v>92</v>
      </c>
      <c r="Z34" s="44">
        <v>5</v>
      </c>
      <c r="AA34" s="44">
        <v>0</v>
      </c>
      <c r="AI34" s="28"/>
      <c r="AJ34" s="28"/>
    </row>
    <row r="35" spans="4:37" x14ac:dyDescent="0.25">
      <c r="D35" s="5">
        <v>35</v>
      </c>
      <c r="E35" s="5">
        <v>1</v>
      </c>
      <c r="F35" s="5">
        <v>66</v>
      </c>
      <c r="G35" s="5">
        <v>5</v>
      </c>
      <c r="I35" s="6">
        <v>0</v>
      </c>
      <c r="J35" s="6">
        <v>0</v>
      </c>
      <c r="K35" s="6">
        <v>70</v>
      </c>
      <c r="L35" s="6">
        <v>4</v>
      </c>
      <c r="N35" s="7">
        <v>0</v>
      </c>
      <c r="O35" s="7">
        <v>0</v>
      </c>
      <c r="P35" s="7">
        <v>50</v>
      </c>
      <c r="Q35" s="7">
        <v>2</v>
      </c>
      <c r="U35" s="10">
        <f>F44</f>
        <v>103</v>
      </c>
      <c r="V35" s="30">
        <v>0</v>
      </c>
      <c r="W35" s="31">
        <f>G44</f>
        <v>2</v>
      </c>
      <c r="Y35" s="44">
        <v>93</v>
      </c>
      <c r="Z35" s="44">
        <v>2</v>
      </c>
      <c r="AA35" s="44">
        <v>0</v>
      </c>
      <c r="AI35" s="28"/>
      <c r="AJ35" s="28"/>
    </row>
    <row r="36" spans="4:37" x14ac:dyDescent="0.25">
      <c r="D36" s="5">
        <v>0</v>
      </c>
      <c r="E36" s="5">
        <v>0</v>
      </c>
      <c r="F36" s="5">
        <v>0</v>
      </c>
      <c r="G36" s="5">
        <v>0</v>
      </c>
      <c r="I36" s="6">
        <v>58</v>
      </c>
      <c r="J36" s="6">
        <v>5</v>
      </c>
      <c r="K36" s="6">
        <v>0</v>
      </c>
      <c r="L36" s="6">
        <v>0</v>
      </c>
      <c r="N36" s="7">
        <v>0</v>
      </c>
      <c r="O36" s="7">
        <v>0</v>
      </c>
      <c r="P36" s="7">
        <v>68</v>
      </c>
      <c r="Q36" s="7">
        <v>3</v>
      </c>
      <c r="U36" s="13">
        <f t="shared" ref="U36:U64" si="34">F45</f>
        <v>0</v>
      </c>
      <c r="V36" s="32">
        <v>0</v>
      </c>
      <c r="W36" s="33">
        <f t="shared" ref="W36:W64" si="35">G45</f>
        <v>0</v>
      </c>
      <c r="Y36" s="44">
        <v>93</v>
      </c>
      <c r="Z36" s="44">
        <v>2</v>
      </c>
      <c r="AA36" s="44">
        <v>0</v>
      </c>
      <c r="AI36" s="14"/>
      <c r="AK36" s="14"/>
    </row>
    <row r="37" spans="4:37" x14ac:dyDescent="0.25">
      <c r="D37" s="5">
        <v>40</v>
      </c>
      <c r="E37" s="5">
        <v>4</v>
      </c>
      <c r="F37" s="5">
        <v>45</v>
      </c>
      <c r="G37" s="5">
        <v>3</v>
      </c>
      <c r="I37" s="6">
        <v>0</v>
      </c>
      <c r="J37" s="6">
        <v>0</v>
      </c>
      <c r="K37" s="6">
        <v>51</v>
      </c>
      <c r="L37" s="6">
        <v>3</v>
      </c>
      <c r="N37" s="7">
        <v>0</v>
      </c>
      <c r="O37" s="7">
        <v>0</v>
      </c>
      <c r="P37" s="7">
        <v>66</v>
      </c>
      <c r="Q37" s="7">
        <v>2</v>
      </c>
      <c r="U37" s="13">
        <f t="shared" si="34"/>
        <v>101</v>
      </c>
      <c r="V37" s="32">
        <v>0</v>
      </c>
      <c r="W37" s="33">
        <f t="shared" si="35"/>
        <v>2</v>
      </c>
      <c r="Y37" s="44">
        <v>96</v>
      </c>
      <c r="Z37" s="44">
        <v>5</v>
      </c>
      <c r="AA37" s="44">
        <v>0</v>
      </c>
      <c r="AI37" s="14"/>
      <c r="AK37" s="14"/>
    </row>
    <row r="38" spans="4:37" x14ac:dyDescent="0.25">
      <c r="D38" s="5">
        <v>0</v>
      </c>
      <c r="E38" s="5">
        <v>0</v>
      </c>
      <c r="F38" s="5">
        <v>0</v>
      </c>
      <c r="G38" s="5">
        <v>0</v>
      </c>
      <c r="I38" s="6">
        <v>58</v>
      </c>
      <c r="J38" s="6">
        <v>5</v>
      </c>
      <c r="K38" s="6">
        <v>46</v>
      </c>
      <c r="L38" s="6">
        <v>3</v>
      </c>
      <c r="N38" s="7">
        <v>38</v>
      </c>
      <c r="O38" s="7">
        <v>4</v>
      </c>
      <c r="P38" s="7">
        <v>0</v>
      </c>
      <c r="Q38" s="7">
        <v>0</v>
      </c>
      <c r="U38" s="13">
        <f t="shared" si="34"/>
        <v>108</v>
      </c>
      <c r="V38" s="32">
        <v>0</v>
      </c>
      <c r="W38" s="33">
        <f t="shared" si="35"/>
        <v>2</v>
      </c>
      <c r="Y38" s="44">
        <v>96</v>
      </c>
      <c r="Z38" s="44">
        <v>4</v>
      </c>
      <c r="AA38" s="44">
        <v>0</v>
      </c>
      <c r="AI38" s="14"/>
      <c r="AK38" s="14"/>
    </row>
    <row r="39" spans="4:37" x14ac:dyDescent="0.25">
      <c r="D39" s="5">
        <v>55</v>
      </c>
      <c r="E39" s="5">
        <v>3</v>
      </c>
      <c r="F39" s="5">
        <v>65</v>
      </c>
      <c r="G39" s="5">
        <v>5</v>
      </c>
      <c r="I39" s="6">
        <v>51</v>
      </c>
      <c r="J39" s="6">
        <v>5</v>
      </c>
      <c r="K39" s="6">
        <v>50</v>
      </c>
      <c r="L39" s="6">
        <v>1</v>
      </c>
      <c r="N39" s="7">
        <v>0</v>
      </c>
      <c r="O39" s="7">
        <v>0</v>
      </c>
      <c r="P39" s="7">
        <v>0</v>
      </c>
      <c r="Q39" s="7">
        <v>0</v>
      </c>
      <c r="U39" s="13">
        <f t="shared" si="34"/>
        <v>117</v>
      </c>
      <c r="V39" s="32">
        <v>0</v>
      </c>
      <c r="W39" s="33">
        <f t="shared" si="35"/>
        <v>4</v>
      </c>
      <c r="Y39" s="44">
        <v>97</v>
      </c>
      <c r="Z39" s="44">
        <v>0</v>
      </c>
      <c r="AA39" s="44">
        <v>4</v>
      </c>
      <c r="AI39" s="14"/>
      <c r="AK39" s="14"/>
    </row>
    <row r="40" spans="4:37" x14ac:dyDescent="0.25">
      <c r="U40" s="13">
        <f t="shared" si="34"/>
        <v>98</v>
      </c>
      <c r="V40" s="32">
        <v>0</v>
      </c>
      <c r="W40" s="33">
        <f t="shared" si="35"/>
        <v>1</v>
      </c>
      <c r="Y40" s="44">
        <v>98</v>
      </c>
      <c r="Z40" s="44">
        <v>2</v>
      </c>
      <c r="AA40" s="44">
        <v>0</v>
      </c>
      <c r="AI40" s="14"/>
      <c r="AK40" s="14"/>
    </row>
    <row r="41" spans="4:37" x14ac:dyDescent="0.25">
      <c r="D41" s="42" t="s">
        <v>27</v>
      </c>
      <c r="E41" s="42"/>
      <c r="F41" s="42"/>
      <c r="G41" s="42"/>
      <c r="U41" s="13">
        <f t="shared" si="34"/>
        <v>103</v>
      </c>
      <c r="V41" s="32">
        <v>0</v>
      </c>
      <c r="W41" s="33">
        <f t="shared" si="35"/>
        <v>1</v>
      </c>
      <c r="Y41" s="44">
        <v>98</v>
      </c>
      <c r="Z41" s="44">
        <v>5</v>
      </c>
      <c r="AA41" s="44">
        <v>0</v>
      </c>
      <c r="AI41" s="14"/>
      <c r="AK41" s="14"/>
    </row>
    <row r="42" spans="4:37" x14ac:dyDescent="0.25">
      <c r="D42" s="42" t="s">
        <v>6</v>
      </c>
      <c r="E42" s="42"/>
      <c r="F42" s="42"/>
      <c r="G42" s="42"/>
      <c r="U42" s="13">
        <f t="shared" si="34"/>
        <v>107</v>
      </c>
      <c r="V42" s="32">
        <v>0</v>
      </c>
      <c r="W42" s="33">
        <f t="shared" si="35"/>
        <v>1</v>
      </c>
      <c r="Y42" s="44">
        <v>98</v>
      </c>
      <c r="Z42" s="44">
        <v>0</v>
      </c>
      <c r="AA42" s="44">
        <v>1</v>
      </c>
      <c r="AI42" s="14"/>
      <c r="AK42" s="14"/>
    </row>
    <row r="43" spans="4:37" x14ac:dyDescent="0.25">
      <c r="D43" s="1" t="s">
        <v>7</v>
      </c>
      <c r="E43" s="1" t="s">
        <v>8</v>
      </c>
      <c r="F43" s="1" t="s">
        <v>9</v>
      </c>
      <c r="G43" s="1" t="s">
        <v>10</v>
      </c>
      <c r="L43" s="7"/>
      <c r="O43" s="6"/>
      <c r="P43" s="7"/>
      <c r="U43" s="13">
        <f t="shared" si="34"/>
        <v>0</v>
      </c>
      <c r="V43" s="32">
        <v>0</v>
      </c>
      <c r="W43" s="33">
        <f t="shared" si="35"/>
        <v>0</v>
      </c>
      <c r="Y43" s="44">
        <v>100</v>
      </c>
      <c r="Z43" s="44">
        <v>0</v>
      </c>
      <c r="AA43" s="44">
        <v>1</v>
      </c>
      <c r="AI43" s="14"/>
      <c r="AK43" s="14"/>
    </row>
    <row r="44" spans="4:37" x14ac:dyDescent="0.25">
      <c r="D44" s="5">
        <v>0</v>
      </c>
      <c r="E44" s="5">
        <v>0</v>
      </c>
      <c r="F44" s="5">
        <v>103</v>
      </c>
      <c r="G44" s="5">
        <v>2</v>
      </c>
      <c r="U44" s="16">
        <f t="shared" si="34"/>
        <v>0</v>
      </c>
      <c r="V44" s="34">
        <v>0</v>
      </c>
      <c r="W44" s="35">
        <f t="shared" si="35"/>
        <v>0</v>
      </c>
      <c r="Y44" s="44">
        <v>100</v>
      </c>
      <c r="Z44" s="44">
        <v>0</v>
      </c>
      <c r="AA44" s="44">
        <v>4</v>
      </c>
      <c r="AI44" s="14"/>
      <c r="AK44" s="14"/>
    </row>
    <row r="45" spans="4:37" x14ac:dyDescent="0.25">
      <c r="D45" s="5">
        <v>106</v>
      </c>
      <c r="E45" s="5">
        <v>5</v>
      </c>
      <c r="F45" s="5">
        <v>0</v>
      </c>
      <c r="G45" s="5">
        <v>0</v>
      </c>
      <c r="U45" s="19">
        <f t="shared" si="34"/>
        <v>119</v>
      </c>
      <c r="V45" s="58">
        <v>0</v>
      </c>
      <c r="W45" s="36">
        <f t="shared" si="35"/>
        <v>2</v>
      </c>
      <c r="Y45" s="44">
        <v>101</v>
      </c>
      <c r="Z45" s="44">
        <v>1</v>
      </c>
      <c r="AA45" s="44">
        <v>0</v>
      </c>
      <c r="AI45" s="14"/>
      <c r="AK45" s="14"/>
    </row>
    <row r="46" spans="4:37" x14ac:dyDescent="0.25">
      <c r="D46" s="5">
        <v>85</v>
      </c>
      <c r="E46" s="5">
        <v>1</v>
      </c>
      <c r="F46" s="5">
        <v>101</v>
      </c>
      <c r="G46" s="5">
        <v>2</v>
      </c>
      <c r="U46" s="21">
        <f t="shared" si="34"/>
        <v>0</v>
      </c>
      <c r="V46" s="59">
        <v>0</v>
      </c>
      <c r="W46" s="37">
        <f t="shared" si="35"/>
        <v>0</v>
      </c>
      <c r="Y46" s="44">
        <v>101</v>
      </c>
      <c r="Z46" s="44">
        <v>0</v>
      </c>
      <c r="AA46" s="44">
        <v>2</v>
      </c>
      <c r="AI46" s="22"/>
      <c r="AK46" s="22"/>
    </row>
    <row r="47" spans="4:37" x14ac:dyDescent="0.25">
      <c r="D47" s="5">
        <v>91</v>
      </c>
      <c r="E47" s="5">
        <v>5</v>
      </c>
      <c r="F47" s="5">
        <v>108</v>
      </c>
      <c r="G47" s="5">
        <v>2</v>
      </c>
      <c r="U47" s="21">
        <f t="shared" si="34"/>
        <v>120</v>
      </c>
      <c r="V47" s="59">
        <v>0</v>
      </c>
      <c r="W47" s="37">
        <f t="shared" si="35"/>
        <v>3</v>
      </c>
      <c r="Y47" s="44">
        <v>103</v>
      </c>
      <c r="Z47" s="44">
        <v>1</v>
      </c>
      <c r="AA47" s="44">
        <v>0</v>
      </c>
      <c r="AI47" s="22"/>
      <c r="AK47" s="22"/>
    </row>
    <row r="48" spans="4:37" x14ac:dyDescent="0.25">
      <c r="D48" s="5">
        <v>85</v>
      </c>
      <c r="E48" s="5">
        <v>2</v>
      </c>
      <c r="F48" s="5">
        <v>117</v>
      </c>
      <c r="G48" s="5">
        <v>4</v>
      </c>
      <c r="U48" s="21">
        <f t="shared" si="34"/>
        <v>97</v>
      </c>
      <c r="V48" s="59">
        <v>0</v>
      </c>
      <c r="W48" s="37">
        <f t="shared" si="35"/>
        <v>4</v>
      </c>
      <c r="Y48" s="44">
        <v>103</v>
      </c>
      <c r="Z48" s="44">
        <v>1</v>
      </c>
      <c r="AA48" s="44">
        <v>0</v>
      </c>
      <c r="AI48" s="22"/>
      <c r="AK48" s="22"/>
    </row>
    <row r="49" spans="4:37" x14ac:dyDescent="0.25">
      <c r="D49" s="5">
        <v>109</v>
      </c>
      <c r="E49" s="5">
        <v>3</v>
      </c>
      <c r="F49" s="5">
        <v>98</v>
      </c>
      <c r="G49" s="5">
        <v>1</v>
      </c>
      <c r="U49" s="21">
        <f t="shared" si="34"/>
        <v>0</v>
      </c>
      <c r="V49" s="59">
        <v>0</v>
      </c>
      <c r="W49" s="37">
        <f t="shared" si="35"/>
        <v>0</v>
      </c>
      <c r="Y49" s="44">
        <v>103</v>
      </c>
      <c r="Z49" s="44">
        <v>0</v>
      </c>
      <c r="AA49" s="44">
        <v>2</v>
      </c>
      <c r="AI49" s="22"/>
      <c r="AK49" s="22"/>
    </row>
    <row r="50" spans="4:37" x14ac:dyDescent="0.25">
      <c r="D50" s="5">
        <v>96</v>
      </c>
      <c r="E50" s="5">
        <v>5</v>
      </c>
      <c r="F50" s="5">
        <v>103</v>
      </c>
      <c r="G50" s="5">
        <v>1</v>
      </c>
      <c r="U50" s="21">
        <f t="shared" si="34"/>
        <v>112</v>
      </c>
      <c r="V50" s="59">
        <v>0</v>
      </c>
      <c r="W50" s="37">
        <f t="shared" si="35"/>
        <v>2</v>
      </c>
      <c r="Y50" s="44">
        <v>103</v>
      </c>
      <c r="Z50" s="44">
        <v>0</v>
      </c>
      <c r="AA50" s="44">
        <v>1</v>
      </c>
      <c r="AI50" s="22"/>
      <c r="AK50" s="22"/>
    </row>
    <row r="51" spans="4:37" x14ac:dyDescent="0.25">
      <c r="D51" s="5">
        <v>0</v>
      </c>
      <c r="E51" s="5">
        <v>0</v>
      </c>
      <c r="F51" s="5">
        <v>107</v>
      </c>
      <c r="G51" s="5">
        <v>1</v>
      </c>
      <c r="U51" s="21">
        <f t="shared" si="34"/>
        <v>0</v>
      </c>
      <c r="V51" s="59">
        <v>0</v>
      </c>
      <c r="W51" s="37">
        <f t="shared" si="35"/>
        <v>0</v>
      </c>
      <c r="Y51" s="44">
        <v>104</v>
      </c>
      <c r="Z51" s="44">
        <v>3</v>
      </c>
      <c r="AA51" s="44">
        <v>0</v>
      </c>
      <c r="AI51" s="22"/>
      <c r="AK51" s="22"/>
    </row>
    <row r="52" spans="4:37" x14ac:dyDescent="0.25">
      <c r="D52" s="5">
        <v>104</v>
      </c>
      <c r="E52" s="5">
        <v>3</v>
      </c>
      <c r="F52" s="5">
        <v>0</v>
      </c>
      <c r="G52" s="5">
        <v>0</v>
      </c>
      <c r="U52" s="21">
        <f t="shared" si="34"/>
        <v>0</v>
      </c>
      <c r="V52" s="59">
        <v>0</v>
      </c>
      <c r="W52" s="37">
        <f t="shared" si="35"/>
        <v>0</v>
      </c>
      <c r="Y52" s="44">
        <v>106</v>
      </c>
      <c r="Z52" s="44">
        <v>5</v>
      </c>
      <c r="AA52" s="44">
        <v>0</v>
      </c>
      <c r="AI52" s="22"/>
      <c r="AK52" s="22"/>
    </row>
    <row r="53" spans="4:37" x14ac:dyDescent="0.25">
      <c r="D53" s="5">
        <v>86</v>
      </c>
      <c r="E53" s="5">
        <v>2</v>
      </c>
      <c r="F53" s="5">
        <v>0</v>
      </c>
      <c r="G53" s="5">
        <v>0</v>
      </c>
      <c r="U53" s="21">
        <f t="shared" si="34"/>
        <v>0</v>
      </c>
      <c r="V53" s="59">
        <v>0</v>
      </c>
      <c r="W53" s="37">
        <f t="shared" si="35"/>
        <v>0</v>
      </c>
      <c r="Y53" s="44">
        <v>106</v>
      </c>
      <c r="Z53" s="44">
        <v>4</v>
      </c>
      <c r="AA53" s="44">
        <v>0</v>
      </c>
      <c r="AI53" s="22"/>
      <c r="AK53" s="22"/>
    </row>
    <row r="54" spans="4:37" x14ac:dyDescent="0.25">
      <c r="D54" s="6">
        <v>0</v>
      </c>
      <c r="E54" s="6">
        <v>0</v>
      </c>
      <c r="F54" s="6">
        <v>119</v>
      </c>
      <c r="G54" s="6">
        <v>2</v>
      </c>
      <c r="U54" s="23">
        <f t="shared" si="34"/>
        <v>0</v>
      </c>
      <c r="V54" s="60">
        <v>0</v>
      </c>
      <c r="W54" s="38">
        <f t="shared" si="35"/>
        <v>0</v>
      </c>
      <c r="Y54" s="44">
        <v>106</v>
      </c>
      <c r="Z54" s="44">
        <v>3</v>
      </c>
      <c r="AA54" s="44">
        <v>0</v>
      </c>
      <c r="AI54" s="22"/>
      <c r="AK54" s="22"/>
    </row>
    <row r="55" spans="4:37" x14ac:dyDescent="0.25">
      <c r="D55" s="6">
        <v>101</v>
      </c>
      <c r="E55" s="6">
        <v>1</v>
      </c>
      <c r="F55" s="6">
        <v>0</v>
      </c>
      <c r="G55" s="6">
        <v>0</v>
      </c>
      <c r="U55" s="25">
        <f t="shared" si="34"/>
        <v>100</v>
      </c>
      <c r="V55" s="30">
        <v>0</v>
      </c>
      <c r="W55" s="39">
        <f t="shared" si="35"/>
        <v>1</v>
      </c>
      <c r="Y55" s="44">
        <v>106</v>
      </c>
      <c r="Z55" s="44">
        <v>0</v>
      </c>
      <c r="AA55" s="44">
        <v>1</v>
      </c>
      <c r="AI55" s="22"/>
      <c r="AK55" s="22"/>
    </row>
    <row r="56" spans="4:37" x14ac:dyDescent="0.25">
      <c r="D56" s="6">
        <v>88</v>
      </c>
      <c r="E56" s="6">
        <v>3</v>
      </c>
      <c r="F56" s="6">
        <v>120</v>
      </c>
      <c r="G56" s="6">
        <v>3</v>
      </c>
      <c r="U56" s="27">
        <f t="shared" si="34"/>
        <v>0</v>
      </c>
      <c r="V56" s="32">
        <v>0</v>
      </c>
      <c r="W56" s="40">
        <f t="shared" si="35"/>
        <v>0</v>
      </c>
      <c r="Y56" s="44">
        <v>107</v>
      </c>
      <c r="Z56" s="44">
        <v>0</v>
      </c>
      <c r="AA56" s="44">
        <v>1</v>
      </c>
      <c r="AI56" s="28"/>
      <c r="AK56" s="28"/>
    </row>
    <row r="57" spans="4:37" x14ac:dyDescent="0.25">
      <c r="D57" s="6">
        <v>103</v>
      </c>
      <c r="E57" s="6">
        <v>1</v>
      </c>
      <c r="F57" s="6">
        <v>97</v>
      </c>
      <c r="G57" s="6">
        <v>4</v>
      </c>
      <c r="U57" s="27">
        <f t="shared" si="34"/>
        <v>0</v>
      </c>
      <c r="V57" s="32">
        <v>0</v>
      </c>
      <c r="W57" s="40">
        <f t="shared" si="35"/>
        <v>0</v>
      </c>
      <c r="Y57" s="44">
        <v>108</v>
      </c>
      <c r="Z57" s="44">
        <v>0</v>
      </c>
      <c r="AA57" s="44">
        <v>2</v>
      </c>
      <c r="AI57" s="28"/>
      <c r="AK57" s="28"/>
    </row>
    <row r="58" spans="4:37" x14ac:dyDescent="0.25">
      <c r="D58" s="6">
        <v>0</v>
      </c>
      <c r="E58" s="6">
        <v>0</v>
      </c>
      <c r="F58" s="6">
        <v>0</v>
      </c>
      <c r="G58" s="6">
        <v>0</v>
      </c>
      <c r="U58" s="27">
        <f t="shared" si="34"/>
        <v>0</v>
      </c>
      <c r="V58" s="32">
        <v>0</v>
      </c>
      <c r="W58" s="40">
        <f t="shared" si="35"/>
        <v>0</v>
      </c>
      <c r="Y58" s="44">
        <v>109</v>
      </c>
      <c r="Z58" s="44">
        <v>3</v>
      </c>
      <c r="AA58" s="44">
        <v>0</v>
      </c>
      <c r="AI58" s="28"/>
      <c r="AK58" s="28"/>
    </row>
    <row r="59" spans="4:37" x14ac:dyDescent="0.25">
      <c r="D59" s="6">
        <v>106</v>
      </c>
      <c r="E59" s="6">
        <v>4</v>
      </c>
      <c r="F59" s="6">
        <v>112</v>
      </c>
      <c r="G59" s="6">
        <v>2</v>
      </c>
      <c r="U59" s="27">
        <f t="shared" si="34"/>
        <v>116</v>
      </c>
      <c r="V59" s="32">
        <v>0</v>
      </c>
      <c r="W59" s="40">
        <f t="shared" si="35"/>
        <v>3</v>
      </c>
      <c r="Y59" s="44">
        <v>109</v>
      </c>
      <c r="Z59" s="44">
        <v>0</v>
      </c>
      <c r="AA59" s="44">
        <v>3</v>
      </c>
      <c r="AI59" s="28"/>
      <c r="AK59" s="28"/>
    </row>
    <row r="60" spans="4:37" x14ac:dyDescent="0.25">
      <c r="D60" s="6">
        <v>98</v>
      </c>
      <c r="E60" s="6">
        <v>2</v>
      </c>
      <c r="F60" s="6">
        <v>0</v>
      </c>
      <c r="G60" s="6">
        <v>0</v>
      </c>
      <c r="U60" s="27">
        <f t="shared" si="34"/>
        <v>109</v>
      </c>
      <c r="V60" s="32">
        <v>0</v>
      </c>
      <c r="W60" s="40">
        <f t="shared" si="35"/>
        <v>3</v>
      </c>
      <c r="Y60" s="44">
        <v>112</v>
      </c>
      <c r="Z60" s="44">
        <v>0</v>
      </c>
      <c r="AA60" s="44">
        <v>2</v>
      </c>
      <c r="AI60" s="28"/>
      <c r="AK60" s="28"/>
    </row>
    <row r="61" spans="4:37" x14ac:dyDescent="0.25">
      <c r="D61" s="6">
        <v>0</v>
      </c>
      <c r="E61" s="6">
        <v>0</v>
      </c>
      <c r="F61" s="6">
        <v>0</v>
      </c>
      <c r="G61" s="6">
        <v>0</v>
      </c>
      <c r="U61" s="27">
        <f t="shared" si="34"/>
        <v>0</v>
      </c>
      <c r="V61" s="32">
        <v>0</v>
      </c>
      <c r="W61" s="40">
        <f t="shared" si="35"/>
        <v>0</v>
      </c>
      <c r="Y61" s="44">
        <v>116</v>
      </c>
      <c r="Z61" s="44">
        <v>0</v>
      </c>
      <c r="AA61" s="44">
        <v>3</v>
      </c>
      <c r="AI61" s="28"/>
      <c r="AK61" s="28"/>
    </row>
    <row r="62" spans="4:37" x14ac:dyDescent="0.25">
      <c r="D62" s="6">
        <v>0</v>
      </c>
      <c r="E62" s="6">
        <v>0</v>
      </c>
      <c r="F62" s="6">
        <v>0</v>
      </c>
      <c r="G62" s="6">
        <v>0</v>
      </c>
      <c r="U62" s="27">
        <f t="shared" si="34"/>
        <v>0</v>
      </c>
      <c r="V62" s="32">
        <v>0</v>
      </c>
      <c r="W62" s="40">
        <f t="shared" si="35"/>
        <v>0</v>
      </c>
      <c r="Y62" s="44">
        <v>117</v>
      </c>
      <c r="Z62" s="44">
        <v>0</v>
      </c>
      <c r="AA62" s="44">
        <v>4</v>
      </c>
      <c r="AI62" s="28"/>
      <c r="AK62" s="28"/>
    </row>
    <row r="63" spans="4:37" x14ac:dyDescent="0.25">
      <c r="D63" s="6">
        <v>96</v>
      </c>
      <c r="E63" s="6">
        <v>4</v>
      </c>
      <c r="F63" s="6">
        <v>0</v>
      </c>
      <c r="G63" s="6">
        <v>0</v>
      </c>
      <c r="U63" s="27">
        <f t="shared" si="34"/>
        <v>106</v>
      </c>
      <c r="V63" s="32">
        <v>0</v>
      </c>
      <c r="W63" s="40">
        <f t="shared" si="35"/>
        <v>1</v>
      </c>
      <c r="Y63" s="44">
        <v>119</v>
      </c>
      <c r="Z63" s="44">
        <v>0</v>
      </c>
      <c r="AA63" s="44">
        <v>2</v>
      </c>
      <c r="AI63" s="28"/>
      <c r="AK63" s="28"/>
    </row>
    <row r="64" spans="4:37" x14ac:dyDescent="0.25">
      <c r="D64" s="7">
        <v>0</v>
      </c>
      <c r="E64" s="7">
        <v>0</v>
      </c>
      <c r="F64" s="7">
        <v>100</v>
      </c>
      <c r="G64" s="7">
        <v>1</v>
      </c>
      <c r="U64" s="29">
        <f t="shared" si="34"/>
        <v>100</v>
      </c>
      <c r="V64" s="34">
        <v>0</v>
      </c>
      <c r="W64" s="41">
        <f t="shared" si="35"/>
        <v>4</v>
      </c>
      <c r="Y64" s="44">
        <v>120</v>
      </c>
      <c r="Z64" s="44">
        <v>0</v>
      </c>
      <c r="AA64" s="44">
        <v>3</v>
      </c>
      <c r="AI64" s="28"/>
      <c r="AK64" s="28"/>
    </row>
    <row r="65" spans="4:37" x14ac:dyDescent="0.25">
      <c r="D65" s="7">
        <v>92</v>
      </c>
      <c r="E65" s="7">
        <v>4</v>
      </c>
      <c r="F65" s="7">
        <v>0</v>
      </c>
      <c r="G65" s="7">
        <v>0</v>
      </c>
      <c r="AI65" s="28"/>
      <c r="AK65" s="28"/>
    </row>
    <row r="66" spans="4:37" x14ac:dyDescent="0.25">
      <c r="D66" s="7">
        <v>92</v>
      </c>
      <c r="E66" s="7">
        <v>5</v>
      </c>
      <c r="F66" s="7">
        <v>0</v>
      </c>
      <c r="G66" s="7">
        <v>0</v>
      </c>
    </row>
    <row r="67" spans="4:37" x14ac:dyDescent="0.25">
      <c r="D67" s="7">
        <v>98</v>
      </c>
      <c r="E67" s="7">
        <v>5</v>
      </c>
      <c r="F67" s="7">
        <v>0</v>
      </c>
      <c r="G67" s="7">
        <v>0</v>
      </c>
    </row>
    <row r="68" spans="4:37" x14ac:dyDescent="0.25">
      <c r="D68" s="7">
        <v>93</v>
      </c>
      <c r="E68" s="7">
        <v>2</v>
      </c>
      <c r="F68" s="7">
        <v>116</v>
      </c>
      <c r="G68" s="7">
        <v>3</v>
      </c>
    </row>
    <row r="69" spans="4:37" x14ac:dyDescent="0.25">
      <c r="D69" s="7">
        <v>106</v>
      </c>
      <c r="E69" s="7">
        <v>3</v>
      </c>
      <c r="F69" s="7">
        <v>109</v>
      </c>
      <c r="G69" s="7">
        <v>3</v>
      </c>
    </row>
    <row r="70" spans="4:37" x14ac:dyDescent="0.25">
      <c r="D70" s="7">
        <v>0</v>
      </c>
      <c r="E70" s="7">
        <v>0</v>
      </c>
      <c r="F70" s="7">
        <v>0</v>
      </c>
      <c r="G70" s="7">
        <v>0</v>
      </c>
    </row>
    <row r="71" spans="4:37" x14ac:dyDescent="0.25">
      <c r="D71" s="7">
        <v>103</v>
      </c>
      <c r="E71" s="7">
        <v>1</v>
      </c>
      <c r="F71" s="7">
        <v>0</v>
      </c>
      <c r="G71" s="7">
        <v>0</v>
      </c>
    </row>
    <row r="72" spans="4:37" x14ac:dyDescent="0.25">
      <c r="D72" s="7">
        <v>93</v>
      </c>
      <c r="E72" s="7">
        <v>2</v>
      </c>
      <c r="F72" s="7">
        <v>106</v>
      </c>
      <c r="G72" s="7">
        <v>1</v>
      </c>
      <c r="Y72" s="2" cm="1">
        <f t="array" ref="Y72:AA81">_xlfn._xlws.SORT(U55:W64,1,1)</f>
        <v>0</v>
      </c>
      <c r="Z72" s="2">
        <v>0</v>
      </c>
      <c r="AA72" s="2">
        <v>0</v>
      </c>
    </row>
    <row r="73" spans="4:37" x14ac:dyDescent="0.25">
      <c r="D73" s="7">
        <v>0</v>
      </c>
      <c r="E73" s="7">
        <v>0</v>
      </c>
      <c r="F73" s="7">
        <v>100</v>
      </c>
      <c r="G73" s="7">
        <v>4</v>
      </c>
      <c r="Y73" s="2">
        <v>0</v>
      </c>
      <c r="Z73" s="2">
        <v>0</v>
      </c>
      <c r="AA73" s="2">
        <v>0</v>
      </c>
    </row>
    <row r="74" spans="4:37" x14ac:dyDescent="0.25">
      <c r="Y74" s="2">
        <v>0</v>
      </c>
      <c r="Z74" s="2">
        <v>0</v>
      </c>
      <c r="AA74" s="2">
        <v>0</v>
      </c>
    </row>
    <row r="75" spans="4:37" x14ac:dyDescent="0.25">
      <c r="Y75" s="2">
        <v>0</v>
      </c>
      <c r="Z75" s="2">
        <v>0</v>
      </c>
      <c r="AA75" s="2">
        <v>0</v>
      </c>
    </row>
    <row r="76" spans="4:37" x14ac:dyDescent="0.25">
      <c r="Y76" s="2">
        <v>0</v>
      </c>
      <c r="Z76" s="2">
        <v>0</v>
      </c>
      <c r="AA76" s="2">
        <v>0</v>
      </c>
    </row>
    <row r="77" spans="4:37" x14ac:dyDescent="0.25">
      <c r="Y77" s="2">
        <v>100</v>
      </c>
      <c r="Z77" s="2">
        <v>0</v>
      </c>
      <c r="AA77" s="2">
        <v>1</v>
      </c>
    </row>
    <row r="78" spans="4:37" x14ac:dyDescent="0.25">
      <c r="Y78" s="2">
        <v>100</v>
      </c>
      <c r="Z78" s="2">
        <v>0</v>
      </c>
      <c r="AA78" s="2">
        <v>4</v>
      </c>
    </row>
    <row r="79" spans="4:37" x14ac:dyDescent="0.25">
      <c r="Y79" s="2">
        <v>106</v>
      </c>
      <c r="Z79" s="2">
        <v>0</v>
      </c>
      <c r="AA79" s="2">
        <v>1</v>
      </c>
    </row>
    <row r="80" spans="4:37" x14ac:dyDescent="0.25">
      <c r="Y80" s="2">
        <v>109</v>
      </c>
      <c r="Z80" s="2">
        <v>0</v>
      </c>
      <c r="AA80" s="2">
        <v>3</v>
      </c>
    </row>
    <row r="81" spans="25:27" x14ac:dyDescent="0.25">
      <c r="Y81" s="2">
        <v>116</v>
      </c>
      <c r="Z81" s="2">
        <v>0</v>
      </c>
      <c r="AA81" s="2">
        <v>3</v>
      </c>
    </row>
  </sheetData>
  <mergeCells count="6">
    <mergeCell ref="D42:G42"/>
    <mergeCell ref="D41:G41"/>
    <mergeCell ref="D2:Q2"/>
    <mergeCell ref="U2:W2"/>
    <mergeCell ref="Y2:AA2"/>
    <mergeCell ref="AC2:CK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25262-2646-43AC-A1F4-58D5157C0A67}">
  <dimension ref="B1:AN36"/>
  <sheetViews>
    <sheetView topLeftCell="O3" workbookViewId="0">
      <selection activeCell="V20" sqref="V20"/>
    </sheetView>
  </sheetViews>
  <sheetFormatPr defaultRowHeight="15" x14ac:dyDescent="0.25"/>
  <cols>
    <col min="1" max="3" width="9.140625" style="4"/>
    <col min="4" max="4" width="10" style="4" customWidth="1"/>
    <col min="5" max="7" width="9.140625" style="4"/>
    <col min="8" max="8" width="9.140625" style="4" customWidth="1"/>
    <col min="9" max="20" width="9.140625" style="4"/>
    <col min="21" max="21" width="11.5703125" style="4" bestFit="1" customWidth="1"/>
    <col min="22" max="29" width="9.140625" style="4"/>
    <col min="30" max="30" width="9.85546875" style="4" customWidth="1"/>
    <col min="31" max="31" width="11.42578125" style="4" customWidth="1"/>
    <col min="32" max="32" width="11.5703125" style="4" bestFit="1" customWidth="1"/>
    <col min="33" max="33" width="13.7109375" style="4" customWidth="1"/>
    <col min="34" max="16384" width="9.140625" style="4"/>
  </cols>
  <sheetData>
    <row r="1" spans="2:40" x14ac:dyDescent="0.25">
      <c r="AN1" s="4" t="s">
        <v>5</v>
      </c>
    </row>
    <row r="2" spans="2:40" x14ac:dyDescent="0.25">
      <c r="B2" s="49" t="s">
        <v>42</v>
      </c>
      <c r="C2" s="4">
        <v>15</v>
      </c>
      <c r="H2" s="52" t="s">
        <v>32</v>
      </c>
    </row>
    <row r="3" spans="2:40" ht="30" x14ac:dyDescent="0.25">
      <c r="B3" s="49" t="s">
        <v>28</v>
      </c>
      <c r="C3" s="4">
        <v>104</v>
      </c>
      <c r="D3" s="4" t="s">
        <v>29</v>
      </c>
      <c r="H3" s="42" t="s">
        <v>33</v>
      </c>
      <c r="I3" s="42"/>
      <c r="J3" s="42"/>
      <c r="K3" s="42"/>
      <c r="L3" s="42"/>
    </row>
    <row r="4" spans="2:40" ht="15" customHeight="1" x14ac:dyDescent="0.25">
      <c r="H4" s="42" t="s">
        <v>30</v>
      </c>
      <c r="I4" s="42"/>
      <c r="J4" s="42"/>
      <c r="K4" s="42"/>
      <c r="L4" s="42"/>
      <c r="N4" s="42" t="s">
        <v>36</v>
      </c>
      <c r="O4" s="42"/>
      <c r="P4" s="42"/>
      <c r="Q4" s="42"/>
      <c r="R4" s="42"/>
      <c r="AF4" s="52" t="s">
        <v>64</v>
      </c>
    </row>
    <row r="5" spans="2:40" x14ac:dyDescent="0.25">
      <c r="B5" s="42" t="s">
        <v>6</v>
      </c>
      <c r="C5" s="42"/>
      <c r="D5" s="42"/>
      <c r="E5" s="42"/>
      <c r="H5" s="42" t="s">
        <v>31</v>
      </c>
      <c r="I5" s="42"/>
      <c r="J5" s="42"/>
      <c r="K5" s="42"/>
      <c r="L5" s="42"/>
      <c r="O5" t="s">
        <v>43</v>
      </c>
      <c r="P5" s="53"/>
      <c r="Q5" t="s">
        <v>44</v>
      </c>
      <c r="R5" s="53"/>
    </row>
    <row r="6" spans="2:40" x14ac:dyDescent="0.25">
      <c r="B6" s="4" t="s">
        <v>7</v>
      </c>
      <c r="C6" s="4" t="s">
        <v>8</v>
      </c>
      <c r="D6" s="4" t="s">
        <v>9</v>
      </c>
      <c r="E6" s="4" t="s">
        <v>10</v>
      </c>
      <c r="H6" s="50" t="s">
        <v>34</v>
      </c>
      <c r="I6" s="50"/>
      <c r="K6" s="50" t="s">
        <v>35</v>
      </c>
      <c r="L6" s="50"/>
      <c r="O6" s="4" t="s">
        <v>40</v>
      </c>
      <c r="Q6" s="4" t="s">
        <v>41</v>
      </c>
    </row>
    <row r="7" spans="2:40" ht="15.75" x14ac:dyDescent="0.25">
      <c r="B7" s="5">
        <v>0</v>
      </c>
      <c r="C7" s="5">
        <v>0</v>
      </c>
      <c r="D7" s="5">
        <v>103</v>
      </c>
      <c r="E7" s="5">
        <v>2</v>
      </c>
      <c r="H7" s="53">
        <f>IF(B7&gt;=$C$3,1,0)</f>
        <v>0</v>
      </c>
      <c r="I7" s="53"/>
      <c r="K7" s="53">
        <f>IF(D7&lt;=$C$3,1,0)*IF(D7&gt;0,1,0)</f>
        <v>1</v>
      </c>
      <c r="L7" s="53"/>
      <c r="N7" s="53" t="s">
        <v>37</v>
      </c>
      <c r="O7" s="4">
        <f>SUMPRODUCT(H7:H16,C7:C16)</f>
        <v>11</v>
      </c>
      <c r="Q7" s="4">
        <f>SUMPRODUCT(K7:K16,E7:E16)</f>
        <v>6</v>
      </c>
      <c r="T7" s="53"/>
    </row>
    <row r="8" spans="2:40" ht="15.75" x14ac:dyDescent="0.25">
      <c r="B8" s="5">
        <v>106</v>
      </c>
      <c r="C8" s="5">
        <v>5</v>
      </c>
      <c r="D8" s="5">
        <v>0</v>
      </c>
      <c r="E8" s="5">
        <v>0</v>
      </c>
      <c r="H8" s="53">
        <f t="shared" ref="H8:H27" si="0">IF(B8&gt;=$C$3,1,0)</f>
        <v>1</v>
      </c>
      <c r="I8" s="53"/>
      <c r="K8" s="53">
        <f t="shared" ref="K8:K24" si="1">IF(D8&lt;=$C$3,1,0)*IF(D8&gt;0,1,0)</f>
        <v>0</v>
      </c>
      <c r="L8" s="53"/>
      <c r="N8" s="53" t="s">
        <v>38</v>
      </c>
      <c r="O8" s="4">
        <f>SUMPRODUCT(H17:H26,C17:C26)</f>
        <v>4</v>
      </c>
      <c r="Q8" s="4">
        <f>SUMPRODUCT(K17:K26,E17:E26)</f>
        <v>4</v>
      </c>
      <c r="T8" s="53"/>
    </row>
    <row r="9" spans="2:40" ht="15.75" x14ac:dyDescent="0.25">
      <c r="B9" s="5">
        <v>85</v>
      </c>
      <c r="C9" s="5">
        <v>1</v>
      </c>
      <c r="D9" s="5">
        <v>101</v>
      </c>
      <c r="E9" s="5">
        <v>2</v>
      </c>
      <c r="H9" s="53">
        <f t="shared" si="0"/>
        <v>0</v>
      </c>
      <c r="I9" s="53"/>
      <c r="K9" s="53">
        <f t="shared" si="1"/>
        <v>1</v>
      </c>
      <c r="L9" s="53"/>
      <c r="N9" s="53" t="s">
        <v>39</v>
      </c>
      <c r="O9" s="4">
        <f>SUMPRODUCT(H27:H36,C27:C36)</f>
        <v>3</v>
      </c>
      <c r="Q9" s="4">
        <f>SUMPRODUCT(K27:K36,E27:E36)</f>
        <v>5</v>
      </c>
      <c r="T9" s="53"/>
    </row>
    <row r="10" spans="2:40" ht="15.75" x14ac:dyDescent="0.25">
      <c r="B10" s="5">
        <v>91</v>
      </c>
      <c r="C10" s="5">
        <v>5</v>
      </c>
      <c r="D10" s="5">
        <v>108</v>
      </c>
      <c r="E10" s="5">
        <v>2</v>
      </c>
      <c r="H10" s="53">
        <f t="shared" si="0"/>
        <v>0</v>
      </c>
      <c r="I10" s="53"/>
      <c r="K10" s="53">
        <f t="shared" si="1"/>
        <v>0</v>
      </c>
      <c r="L10" s="53"/>
    </row>
    <row r="11" spans="2:40" ht="15.75" x14ac:dyDescent="0.25">
      <c r="B11" s="5">
        <v>85</v>
      </c>
      <c r="C11" s="5">
        <v>2</v>
      </c>
      <c r="D11" s="5">
        <v>117</v>
      </c>
      <c r="E11" s="5">
        <v>4</v>
      </c>
      <c r="H11" s="53">
        <f t="shared" si="0"/>
        <v>0</v>
      </c>
      <c r="I11" s="53"/>
      <c r="K11" s="53">
        <f t="shared" si="1"/>
        <v>0</v>
      </c>
      <c r="L11" s="53"/>
      <c r="O11" s="53"/>
    </row>
    <row r="12" spans="2:40" ht="15.75" x14ac:dyDescent="0.25">
      <c r="B12" s="5">
        <v>109</v>
      </c>
      <c r="C12" s="5">
        <v>3</v>
      </c>
      <c r="D12" s="5">
        <v>98</v>
      </c>
      <c r="E12" s="5">
        <v>1</v>
      </c>
      <c r="H12" s="53">
        <f t="shared" si="0"/>
        <v>1</v>
      </c>
      <c r="I12" s="53"/>
      <c r="K12" s="53">
        <f t="shared" si="1"/>
        <v>1</v>
      </c>
      <c r="L12" s="53"/>
      <c r="N12" s="42" t="s">
        <v>46</v>
      </c>
      <c r="O12" s="42"/>
      <c r="P12" s="42"/>
      <c r="Q12" s="42"/>
      <c r="R12" s="42"/>
    </row>
    <row r="13" spans="2:40" ht="15.75" x14ac:dyDescent="0.25">
      <c r="B13" s="5">
        <v>96</v>
      </c>
      <c r="C13" s="5">
        <v>5</v>
      </c>
      <c r="D13" s="5">
        <v>103</v>
      </c>
      <c r="E13" s="5">
        <v>1</v>
      </c>
      <c r="H13" s="53">
        <f t="shared" si="0"/>
        <v>0</v>
      </c>
      <c r="I13" s="53"/>
      <c r="K13" s="53">
        <f t="shared" si="1"/>
        <v>1</v>
      </c>
      <c r="L13" s="53"/>
      <c r="O13" t="s">
        <v>47</v>
      </c>
      <c r="Q13" t="s">
        <v>48</v>
      </c>
      <c r="S13" s="4" t="s">
        <v>51</v>
      </c>
      <c r="U13" s="52" t="s">
        <v>59</v>
      </c>
    </row>
    <row r="14" spans="2:40" ht="15.75" x14ac:dyDescent="0.25">
      <c r="B14" s="5">
        <v>0</v>
      </c>
      <c r="C14" s="5">
        <v>0</v>
      </c>
      <c r="D14" s="5">
        <v>107</v>
      </c>
      <c r="E14" s="5">
        <v>1</v>
      </c>
      <c r="H14" s="53">
        <f t="shared" si="0"/>
        <v>0</v>
      </c>
      <c r="I14" s="53"/>
      <c r="K14" s="53">
        <f t="shared" si="1"/>
        <v>0</v>
      </c>
      <c r="L14" s="53"/>
      <c r="N14" s="4" t="s">
        <v>45</v>
      </c>
      <c r="O14" s="4">
        <f>O7+O8+O9</f>
        <v>18</v>
      </c>
      <c r="P14" s="4" t="s">
        <v>49</v>
      </c>
      <c r="Q14" s="4">
        <f>Q7+Q8+Q9</f>
        <v>15</v>
      </c>
      <c r="R14" s="4" t="s">
        <v>50</v>
      </c>
      <c r="S14" s="4">
        <f>IF(O14&gt;Q14,1,0)</f>
        <v>1</v>
      </c>
      <c r="AD14" s="42" t="s">
        <v>70</v>
      </c>
      <c r="AE14" s="42"/>
      <c r="AF14" s="42"/>
      <c r="AG14" s="42"/>
    </row>
    <row r="15" spans="2:40" ht="30" x14ac:dyDescent="0.25">
      <c r="B15" s="5">
        <v>104</v>
      </c>
      <c r="C15" s="5">
        <v>3</v>
      </c>
      <c r="D15" s="5">
        <v>0</v>
      </c>
      <c r="E15" s="5">
        <v>0</v>
      </c>
      <c r="H15" s="53">
        <f t="shared" si="0"/>
        <v>1</v>
      </c>
      <c r="I15" s="53"/>
      <c r="K15" s="53">
        <f t="shared" si="1"/>
        <v>0</v>
      </c>
      <c r="L15" s="53"/>
      <c r="U15" s="52" t="s">
        <v>60</v>
      </c>
      <c r="AA15" s="4" t="s">
        <v>65</v>
      </c>
      <c r="AB15" s="4">
        <f>C2/W28</f>
        <v>0.83333333333333337</v>
      </c>
      <c r="AE15" s="4" t="s">
        <v>67</v>
      </c>
      <c r="AF15" s="4" t="s">
        <v>66</v>
      </c>
      <c r="AG15" s="4" t="s">
        <v>68</v>
      </c>
    </row>
    <row r="16" spans="2:40" ht="15.75" x14ac:dyDescent="0.25">
      <c r="B16" s="5">
        <v>86</v>
      </c>
      <c r="C16" s="5">
        <v>2</v>
      </c>
      <c r="D16" s="5">
        <v>0</v>
      </c>
      <c r="E16" s="5">
        <v>0</v>
      </c>
      <c r="H16" s="53">
        <f t="shared" si="0"/>
        <v>0</v>
      </c>
      <c r="I16" s="53"/>
      <c r="K16" s="53">
        <f t="shared" si="1"/>
        <v>0</v>
      </c>
      <c r="L16" s="53"/>
      <c r="AD16" s="53" t="s">
        <v>37</v>
      </c>
      <c r="AE16" s="4">
        <f>T28*$AB$15</f>
        <v>9.1666666666666679</v>
      </c>
      <c r="AF16" s="4">
        <f>AE16-0.5+0.0001</f>
        <v>8.6667666666666676</v>
      </c>
      <c r="AG16" s="4">
        <f>ROUND(AF16,0)</f>
        <v>9</v>
      </c>
    </row>
    <row r="17" spans="2:36" ht="15.75" x14ac:dyDescent="0.25">
      <c r="B17" s="6">
        <v>0</v>
      </c>
      <c r="C17" s="6">
        <v>0</v>
      </c>
      <c r="D17" s="6">
        <v>119</v>
      </c>
      <c r="E17" s="6">
        <v>2</v>
      </c>
      <c r="H17" s="53">
        <f t="shared" si="0"/>
        <v>0</v>
      </c>
      <c r="I17" s="53"/>
      <c r="K17" s="53">
        <f t="shared" si="1"/>
        <v>0</v>
      </c>
      <c r="L17" s="53"/>
      <c r="AD17" s="53" t="s">
        <v>38</v>
      </c>
      <c r="AE17" s="4">
        <f t="shared" ref="AE17:AE18" si="2">T29*$AB$15</f>
        <v>3.3333333333333335</v>
      </c>
      <c r="AF17" s="4">
        <f t="shared" ref="AF17:AF18" si="3">AE17-0.5+0.0001</f>
        <v>2.8334333333333337</v>
      </c>
      <c r="AG17" s="4">
        <f t="shared" ref="AG17:AG18" si="4">ROUND(AF17,0)</f>
        <v>3</v>
      </c>
    </row>
    <row r="18" spans="2:36" ht="15.75" x14ac:dyDescent="0.25">
      <c r="B18" s="6">
        <v>101</v>
      </c>
      <c r="C18" s="6">
        <v>1</v>
      </c>
      <c r="D18" s="6">
        <v>0</v>
      </c>
      <c r="E18" s="6">
        <v>0</v>
      </c>
      <c r="H18" s="53">
        <f t="shared" si="0"/>
        <v>0</v>
      </c>
      <c r="I18" s="53"/>
      <c r="K18" s="53">
        <f t="shared" si="1"/>
        <v>0</v>
      </c>
      <c r="L18" s="53"/>
      <c r="N18" s="52" t="s">
        <v>52</v>
      </c>
      <c r="AD18" s="53" t="s">
        <v>39</v>
      </c>
      <c r="AE18" s="4">
        <f t="shared" si="2"/>
        <v>2.5</v>
      </c>
      <c r="AF18" s="4">
        <f t="shared" si="3"/>
        <v>2.0001000000000002</v>
      </c>
      <c r="AG18" s="4">
        <f t="shared" si="4"/>
        <v>2</v>
      </c>
    </row>
    <row r="19" spans="2:36" ht="15.75" x14ac:dyDescent="0.25">
      <c r="B19" s="6">
        <v>88</v>
      </c>
      <c r="C19" s="6">
        <v>3</v>
      </c>
      <c r="D19" s="6">
        <v>120</v>
      </c>
      <c r="E19" s="6">
        <v>3</v>
      </c>
      <c r="H19" s="53">
        <f t="shared" si="0"/>
        <v>0</v>
      </c>
      <c r="I19" s="53"/>
      <c r="K19" s="53">
        <f t="shared" si="1"/>
        <v>0</v>
      </c>
      <c r="L19" s="53"/>
    </row>
    <row r="20" spans="2:36" ht="15.75" x14ac:dyDescent="0.25">
      <c r="B20" s="6">
        <v>103</v>
      </c>
      <c r="C20" s="6">
        <v>1</v>
      </c>
      <c r="D20" s="6">
        <v>97</v>
      </c>
      <c r="E20" s="6">
        <v>4</v>
      </c>
      <c r="H20" s="53">
        <f t="shared" si="0"/>
        <v>0</v>
      </c>
      <c r="I20" s="53"/>
      <c r="K20" s="53">
        <f t="shared" si="1"/>
        <v>1</v>
      </c>
      <c r="L20" s="53"/>
      <c r="N20" s="52" t="s">
        <v>53</v>
      </c>
      <c r="AF20" s="4" t="s">
        <v>71</v>
      </c>
      <c r="AG20" s="4">
        <f>SUM(AG16:AG18)</f>
        <v>14</v>
      </c>
    </row>
    <row r="21" spans="2:36" ht="15.75" x14ac:dyDescent="0.25">
      <c r="B21" s="6">
        <v>0</v>
      </c>
      <c r="C21" s="6">
        <v>0</v>
      </c>
      <c r="D21" s="6">
        <v>0</v>
      </c>
      <c r="E21" s="6">
        <v>0</v>
      </c>
      <c r="H21" s="53">
        <f t="shared" si="0"/>
        <v>0</v>
      </c>
      <c r="I21" s="53"/>
      <c r="K21" s="53">
        <f t="shared" si="1"/>
        <v>0</v>
      </c>
      <c r="L21" s="53"/>
      <c r="AF21" s="56" t="s">
        <v>69</v>
      </c>
      <c r="AG21" s="4">
        <f>C2-AG20</f>
        <v>1</v>
      </c>
    </row>
    <row r="22" spans="2:36" ht="15.75" customHeight="1" x14ac:dyDescent="0.25">
      <c r="B22" s="6">
        <v>106</v>
      </c>
      <c r="C22" s="6">
        <v>4</v>
      </c>
      <c r="D22" s="6">
        <v>112</v>
      </c>
      <c r="E22" s="6">
        <v>2</v>
      </c>
      <c r="H22" s="53">
        <f t="shared" si="0"/>
        <v>1</v>
      </c>
      <c r="I22" s="53"/>
      <c r="K22" s="53">
        <f t="shared" si="1"/>
        <v>0</v>
      </c>
      <c r="L22" s="53"/>
      <c r="N22" s="54" t="s">
        <v>57</v>
      </c>
      <c r="O22" s="54"/>
      <c r="P22" s="54"/>
      <c r="Q22" s="54" t="s">
        <v>61</v>
      </c>
      <c r="R22" s="55" t="s">
        <v>62</v>
      </c>
      <c r="S22" s="55"/>
      <c r="T22" s="55"/>
      <c r="U22" s="55"/>
      <c r="V22" s="55"/>
      <c r="W22" s="55"/>
    </row>
    <row r="23" spans="2:36" ht="15.75" customHeight="1" x14ac:dyDescent="0.25">
      <c r="B23" s="6">
        <v>98</v>
      </c>
      <c r="C23" s="6">
        <v>2</v>
      </c>
      <c r="D23" s="6">
        <v>0</v>
      </c>
      <c r="E23" s="6">
        <v>0</v>
      </c>
      <c r="H23" s="53">
        <f t="shared" si="0"/>
        <v>0</v>
      </c>
      <c r="I23" s="53"/>
      <c r="K23" s="53">
        <f t="shared" si="1"/>
        <v>0</v>
      </c>
      <c r="L23" s="53"/>
      <c r="N23" s="54"/>
      <c r="O23" s="54"/>
      <c r="P23" s="54"/>
      <c r="Q23" s="54"/>
      <c r="R23" s="55"/>
      <c r="S23" s="55"/>
      <c r="T23" s="55"/>
      <c r="U23" s="55"/>
      <c r="V23" s="55"/>
      <c r="W23" s="55"/>
    </row>
    <row r="24" spans="2:36" ht="15.75" customHeight="1" x14ac:dyDescent="0.25">
      <c r="B24" s="6">
        <v>0</v>
      </c>
      <c r="C24" s="6">
        <v>0</v>
      </c>
      <c r="D24" s="6">
        <v>0</v>
      </c>
      <c r="E24" s="6">
        <v>0</v>
      </c>
      <c r="H24" s="53">
        <f t="shared" si="0"/>
        <v>0</v>
      </c>
      <c r="I24" s="53"/>
      <c r="K24" s="53">
        <f t="shared" si="1"/>
        <v>0</v>
      </c>
      <c r="L24" s="53"/>
      <c r="R24" s="55" t="s">
        <v>63</v>
      </c>
      <c r="S24" s="55"/>
      <c r="T24" s="55"/>
      <c r="U24" s="55"/>
      <c r="V24" s="55"/>
      <c r="W24" s="55"/>
      <c r="AD24" s="42" t="s">
        <v>72</v>
      </c>
      <c r="AE24" s="42"/>
      <c r="AF24" s="42"/>
      <c r="AG24" s="42"/>
      <c r="AH24" s="42"/>
      <c r="AI24" s="42"/>
      <c r="AJ24" s="42"/>
    </row>
    <row r="25" spans="2:36" ht="30" x14ac:dyDescent="0.25">
      <c r="B25" s="6">
        <v>0</v>
      </c>
      <c r="C25" s="6">
        <v>0</v>
      </c>
      <c r="D25" s="6">
        <v>0</v>
      </c>
      <c r="E25" s="6">
        <v>0</v>
      </c>
      <c r="H25" s="53">
        <f t="shared" si="0"/>
        <v>0</v>
      </c>
      <c r="I25" s="53"/>
      <c r="K25" s="53">
        <f>IF(D25&lt;=$C$3,1,0)*IF(D25&gt;0,1,0)</f>
        <v>0</v>
      </c>
      <c r="L25" s="53"/>
      <c r="R25" s="55"/>
      <c r="S25" s="55"/>
      <c r="T25" s="55"/>
      <c r="U25" s="55"/>
      <c r="V25" s="55"/>
      <c r="W25" s="55"/>
      <c r="AE25" s="4" t="s">
        <v>73</v>
      </c>
      <c r="AF25" s="4" t="s">
        <v>74</v>
      </c>
      <c r="AG25" s="4" t="s">
        <v>75</v>
      </c>
      <c r="AH25" s="4" t="s">
        <v>76</v>
      </c>
      <c r="AJ25" s="4" t="s">
        <v>68</v>
      </c>
    </row>
    <row r="26" spans="2:36" ht="15.75" x14ac:dyDescent="0.25">
      <c r="B26" s="6">
        <v>96</v>
      </c>
      <c r="C26" s="6">
        <v>4</v>
      </c>
      <c r="D26" s="6">
        <v>0</v>
      </c>
      <c r="E26" s="6">
        <v>0</v>
      </c>
      <c r="H26" s="53">
        <f t="shared" si="0"/>
        <v>0</v>
      </c>
      <c r="I26" s="53"/>
      <c r="K26" s="53">
        <f t="shared" ref="K26:K36" si="5">IF(D26&lt;=$C$3,1,0)*IF(D26&gt;0,1,0)</f>
        <v>0</v>
      </c>
      <c r="L26" s="53"/>
      <c r="AD26" s="53" t="s">
        <v>37</v>
      </c>
      <c r="AE26" s="4">
        <f>IF(T28&gt;AG16,1,0)</f>
        <v>1</v>
      </c>
      <c r="AF26" s="4">
        <f>AG21</f>
        <v>1</v>
      </c>
      <c r="AG26" s="4">
        <f>IF(AF26&gt;0,1,0)</f>
        <v>1</v>
      </c>
      <c r="AH26" s="4">
        <f>AE26*AG26</f>
        <v>1</v>
      </c>
      <c r="AJ26" s="4">
        <f>AG16+AH26</f>
        <v>10</v>
      </c>
    </row>
    <row r="27" spans="2:36" ht="15.75" x14ac:dyDescent="0.25">
      <c r="B27" s="7">
        <v>0</v>
      </c>
      <c r="C27" s="7">
        <v>0</v>
      </c>
      <c r="D27" s="7">
        <v>100</v>
      </c>
      <c r="E27" s="7">
        <v>1</v>
      </c>
      <c r="H27" s="53">
        <f t="shared" si="0"/>
        <v>0</v>
      </c>
      <c r="I27" s="53"/>
      <c r="K27" s="53">
        <f t="shared" si="5"/>
        <v>1</v>
      </c>
      <c r="L27" s="53"/>
      <c r="N27" s="52" t="s">
        <v>54</v>
      </c>
      <c r="T27" s="51" t="s">
        <v>57</v>
      </c>
      <c r="W27" s="51" t="s">
        <v>58</v>
      </c>
      <c r="AD27" s="53" t="s">
        <v>38</v>
      </c>
      <c r="AE27" s="4">
        <f t="shared" ref="AE27:AE28" si="6">IF(T29&gt;AG17,1,0)</f>
        <v>1</v>
      </c>
      <c r="AF27" s="4">
        <f>AF26-AH26</f>
        <v>0</v>
      </c>
      <c r="AG27" s="4">
        <f>IF(AF27&gt;0,1,0)</f>
        <v>0</v>
      </c>
      <c r="AH27" s="4">
        <f>AE27*AG27</f>
        <v>0</v>
      </c>
      <c r="AJ27" s="4">
        <f t="shared" ref="AJ27:AJ28" si="7">AG17+AH27</f>
        <v>3</v>
      </c>
    </row>
    <row r="28" spans="2:36" ht="15.75" x14ac:dyDescent="0.25">
      <c r="B28" s="7">
        <v>92</v>
      </c>
      <c r="C28" s="7">
        <v>4</v>
      </c>
      <c r="D28" s="7">
        <v>0</v>
      </c>
      <c r="E28" s="7">
        <v>0</v>
      </c>
      <c r="H28" s="53">
        <f>IF(B28&gt;=$C$3,1,0)</f>
        <v>0</v>
      </c>
      <c r="I28" s="53"/>
      <c r="K28" s="53">
        <f t="shared" si="5"/>
        <v>0</v>
      </c>
      <c r="L28" s="53"/>
      <c r="N28" s="52" t="s">
        <v>55</v>
      </c>
      <c r="S28" s="53" t="s">
        <v>37</v>
      </c>
      <c r="T28" s="4">
        <f>$S$14*O7+(1-$S$14)*Q7</f>
        <v>11</v>
      </c>
      <c r="W28" s="4">
        <f>SUM(T28:T30)</f>
        <v>18</v>
      </c>
      <c r="AD28" s="53" t="s">
        <v>39</v>
      </c>
      <c r="AE28" s="4">
        <f t="shared" si="6"/>
        <v>1</v>
      </c>
      <c r="AF28" s="4">
        <f>AF27-AH27</f>
        <v>0</v>
      </c>
      <c r="AG28" s="4">
        <f>IF(AF28&gt;0,1,0)</f>
        <v>0</v>
      </c>
      <c r="AH28" s="4">
        <f>AE28*AG28</f>
        <v>0</v>
      </c>
      <c r="AJ28" s="4">
        <f t="shared" si="7"/>
        <v>2</v>
      </c>
    </row>
    <row r="29" spans="2:36" ht="15.75" x14ac:dyDescent="0.25">
      <c r="B29" s="7">
        <v>92</v>
      </c>
      <c r="C29" s="7">
        <v>5</v>
      </c>
      <c r="D29" s="7">
        <v>0</v>
      </c>
      <c r="E29" s="7">
        <v>0</v>
      </c>
      <c r="H29" s="53">
        <f t="shared" ref="H29:H36" si="8">IF(B29&gt;=$C$3,1,0)</f>
        <v>0</v>
      </c>
      <c r="I29" s="53"/>
      <c r="K29" s="53">
        <f t="shared" si="5"/>
        <v>0</v>
      </c>
      <c r="L29" s="53"/>
      <c r="N29" s="52" t="s">
        <v>56</v>
      </c>
      <c r="S29" s="53" t="s">
        <v>38</v>
      </c>
      <c r="T29" s="4">
        <f>$S$14*O8+(1-$S$14)*Q8</f>
        <v>4</v>
      </c>
    </row>
    <row r="30" spans="2:36" ht="15.75" x14ac:dyDescent="0.25">
      <c r="B30" s="7">
        <v>98</v>
      </c>
      <c r="C30" s="7">
        <v>5</v>
      </c>
      <c r="D30" s="7">
        <v>0</v>
      </c>
      <c r="E30" s="7">
        <v>0</v>
      </c>
      <c r="H30" s="53">
        <f t="shared" si="8"/>
        <v>0</v>
      </c>
      <c r="I30" s="53"/>
      <c r="K30" s="53">
        <f t="shared" si="5"/>
        <v>0</v>
      </c>
      <c r="L30" s="53"/>
      <c r="S30" s="53" t="s">
        <v>39</v>
      </c>
      <c r="T30" s="4">
        <f>$S$14*O9+(1-$S$14)*Q9</f>
        <v>3</v>
      </c>
    </row>
    <row r="31" spans="2:36" ht="15.75" x14ac:dyDescent="0.25">
      <c r="B31" s="7">
        <v>93</v>
      </c>
      <c r="C31" s="7">
        <v>2</v>
      </c>
      <c r="D31" s="7">
        <v>116</v>
      </c>
      <c r="E31" s="7">
        <v>3</v>
      </c>
      <c r="H31" s="53">
        <f t="shared" si="8"/>
        <v>0</v>
      </c>
      <c r="I31" s="53"/>
      <c r="K31" s="53">
        <f t="shared" si="5"/>
        <v>0</v>
      </c>
      <c r="L31" s="53"/>
      <c r="AD31" s="52" t="s">
        <v>77</v>
      </c>
    </row>
    <row r="32" spans="2:36" ht="15.75" x14ac:dyDescent="0.25">
      <c r="B32" s="7">
        <v>106</v>
      </c>
      <c r="C32" s="7">
        <v>3</v>
      </c>
      <c r="D32" s="7">
        <v>109</v>
      </c>
      <c r="E32" s="7">
        <v>3</v>
      </c>
      <c r="H32" s="53">
        <f t="shared" si="8"/>
        <v>1</v>
      </c>
      <c r="I32" s="53"/>
      <c r="K32" s="53">
        <f t="shared" si="5"/>
        <v>0</v>
      </c>
      <c r="L32" s="53"/>
    </row>
    <row r="33" spans="2:30" ht="15.75" x14ac:dyDescent="0.25">
      <c r="B33" s="7">
        <v>0</v>
      </c>
      <c r="C33" s="7">
        <v>0</v>
      </c>
      <c r="D33" s="7">
        <v>0</v>
      </c>
      <c r="E33" s="7">
        <v>0</v>
      </c>
      <c r="H33" s="53">
        <f t="shared" si="8"/>
        <v>0</v>
      </c>
      <c r="I33" s="53"/>
      <c r="K33" s="53">
        <f t="shared" si="5"/>
        <v>0</v>
      </c>
      <c r="L33" s="53"/>
      <c r="AD33" s="52" t="s">
        <v>78</v>
      </c>
    </row>
    <row r="34" spans="2:30" ht="15.75" x14ac:dyDescent="0.25">
      <c r="B34" s="7">
        <v>103</v>
      </c>
      <c r="C34" s="7">
        <v>1</v>
      </c>
      <c r="D34" s="7">
        <v>0</v>
      </c>
      <c r="E34" s="7">
        <v>0</v>
      </c>
      <c r="H34" s="53">
        <f t="shared" si="8"/>
        <v>0</v>
      </c>
      <c r="I34" s="53"/>
      <c r="K34" s="53">
        <f t="shared" si="5"/>
        <v>0</v>
      </c>
      <c r="L34" s="53"/>
    </row>
    <row r="35" spans="2:30" ht="15.75" x14ac:dyDescent="0.25">
      <c r="B35" s="7">
        <v>93</v>
      </c>
      <c r="C35" s="7">
        <v>2</v>
      </c>
      <c r="D35" s="7">
        <v>106</v>
      </c>
      <c r="E35" s="7">
        <v>1</v>
      </c>
      <c r="H35" s="53">
        <f t="shared" si="8"/>
        <v>0</v>
      </c>
      <c r="I35" s="53"/>
      <c r="K35" s="53">
        <f t="shared" si="5"/>
        <v>0</v>
      </c>
      <c r="L35" s="53"/>
    </row>
    <row r="36" spans="2:30" ht="15.75" x14ac:dyDescent="0.25">
      <c r="B36" s="7">
        <v>0</v>
      </c>
      <c r="C36" s="7">
        <v>0</v>
      </c>
      <c r="D36" s="7">
        <v>100</v>
      </c>
      <c r="E36" s="7">
        <v>4</v>
      </c>
      <c r="H36" s="53">
        <f t="shared" si="8"/>
        <v>0</v>
      </c>
      <c r="I36" s="53"/>
      <c r="K36" s="53">
        <f t="shared" si="5"/>
        <v>1</v>
      </c>
      <c r="L36" s="53"/>
    </row>
  </sheetData>
  <mergeCells count="14">
    <mergeCell ref="R24:W25"/>
    <mergeCell ref="AD14:AG14"/>
    <mergeCell ref="AD24:AJ24"/>
    <mergeCell ref="N4:R4"/>
    <mergeCell ref="N12:R12"/>
    <mergeCell ref="N22:P23"/>
    <mergeCell ref="Q22:Q23"/>
    <mergeCell ref="R22:W23"/>
    <mergeCell ref="B5:E5"/>
    <mergeCell ref="H3:L3"/>
    <mergeCell ref="H4:L4"/>
    <mergeCell ref="H5:L5"/>
    <mergeCell ref="H6:I6"/>
    <mergeCell ref="K6:L6"/>
  </mergeCells>
  <phoneticPr fontId="1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FE4B-869F-4655-8803-0FF20017CED5}">
  <dimension ref="G1:AN19"/>
  <sheetViews>
    <sheetView tabSelected="1" topLeftCell="B1" workbookViewId="0">
      <selection activeCell="T24" sqref="T24"/>
    </sheetView>
  </sheetViews>
  <sheetFormatPr defaultRowHeight="15" x14ac:dyDescent="0.25"/>
  <cols>
    <col min="1" max="6" width="9.140625" style="1"/>
    <col min="7" max="7" width="9.140625" style="1" customWidth="1"/>
    <col min="8" max="8" width="21.140625" style="1" customWidth="1"/>
    <col min="9" max="9" width="19.5703125" style="1" customWidth="1"/>
    <col min="10" max="10" width="14.28515625" style="1" customWidth="1"/>
    <col min="11" max="11" width="24.42578125" style="1" customWidth="1"/>
    <col min="12" max="14" width="13.42578125" style="1" customWidth="1"/>
    <col min="15" max="15" width="12.7109375" style="1" customWidth="1"/>
    <col min="16" max="16384" width="9.140625" style="1"/>
  </cols>
  <sheetData>
    <row r="1" spans="7:40" x14ac:dyDescent="0.25">
      <c r="AN1" s="1" t="s">
        <v>5</v>
      </c>
    </row>
    <row r="3" spans="7:40" x14ac:dyDescent="0.25">
      <c r="K3" s="1" t="s">
        <v>87</v>
      </c>
    </row>
    <row r="4" spans="7:40" x14ac:dyDescent="0.25">
      <c r="H4" s="1" t="s">
        <v>79</v>
      </c>
      <c r="I4" s="1" t="s">
        <v>85</v>
      </c>
      <c r="J4" s="1" t="s">
        <v>84</v>
      </c>
      <c r="K4" s="1" t="s">
        <v>86</v>
      </c>
      <c r="L4" s="1" t="s">
        <v>88</v>
      </c>
      <c r="M4" s="1" t="s">
        <v>89</v>
      </c>
      <c r="N4" s="1" t="s">
        <v>90</v>
      </c>
      <c r="O4" s="1" t="s">
        <v>91</v>
      </c>
      <c r="S4" s="1" t="s">
        <v>97</v>
      </c>
      <c r="W4" s="1" t="s">
        <v>98</v>
      </c>
      <c r="AA4" s="1" t="s">
        <v>128</v>
      </c>
      <c r="AE4" s="1" t="s">
        <v>139</v>
      </c>
      <c r="AI4" s="1" t="s">
        <v>110</v>
      </c>
      <c r="AM4" s="1" t="s">
        <v>118</v>
      </c>
    </row>
    <row r="5" spans="7:40" x14ac:dyDescent="0.25">
      <c r="H5" s="1" t="s">
        <v>80</v>
      </c>
      <c r="I5" s="1">
        <v>12754.7</v>
      </c>
      <c r="J5" s="1">
        <v>542605</v>
      </c>
      <c r="K5" s="61">
        <v>1626480</v>
      </c>
      <c r="L5" s="1">
        <f>AVERAGE(M5:O5)</f>
        <v>474938</v>
      </c>
      <c r="M5" s="1">
        <v>543895</v>
      </c>
      <c r="N5" s="1">
        <v>454362</v>
      </c>
      <c r="O5" s="1">
        <v>426557</v>
      </c>
      <c r="S5" s="51" t="s">
        <v>92</v>
      </c>
      <c r="W5" s="51" t="s">
        <v>99</v>
      </c>
      <c r="AA5" s="51" t="s">
        <v>129</v>
      </c>
      <c r="AE5" s="51" t="s">
        <v>140</v>
      </c>
      <c r="AI5" s="51" t="s">
        <v>111</v>
      </c>
      <c r="AM5" s="51" t="s">
        <v>119</v>
      </c>
    </row>
    <row r="6" spans="7:40" x14ac:dyDescent="0.25">
      <c r="H6" s="1" t="s">
        <v>81</v>
      </c>
      <c r="I6" s="1">
        <v>15.6701</v>
      </c>
      <c r="J6" s="1">
        <v>294.18599999999998</v>
      </c>
      <c r="K6" s="1">
        <v>879.596</v>
      </c>
      <c r="L6" s="1">
        <v>3825</v>
      </c>
      <c r="M6" s="1">
        <v>3825</v>
      </c>
      <c r="N6" s="1">
        <v>3825</v>
      </c>
      <c r="O6" s="1">
        <v>3535</v>
      </c>
      <c r="S6" s="51" t="s">
        <v>93</v>
      </c>
      <c r="W6" s="51" t="s">
        <v>100</v>
      </c>
      <c r="AA6" s="51" t="s">
        <v>130</v>
      </c>
      <c r="AE6" s="51" t="s">
        <v>141</v>
      </c>
      <c r="AI6" s="51" t="s">
        <v>112</v>
      </c>
      <c r="AM6" s="51" t="s">
        <v>120</v>
      </c>
    </row>
    <row r="7" spans="7:40" x14ac:dyDescent="0.25">
      <c r="H7" s="1" t="s">
        <v>83</v>
      </c>
      <c r="I7" s="1">
        <v>1839.7</v>
      </c>
      <c r="J7" s="1">
        <v>86470.3</v>
      </c>
      <c r="K7" s="1">
        <v>258519</v>
      </c>
      <c r="L7" s="1">
        <f>AVERAGE(M7:O7)</f>
        <v>267839</v>
      </c>
      <c r="M7" s="1">
        <v>318320</v>
      </c>
      <c r="N7" s="1">
        <v>256543</v>
      </c>
      <c r="O7" s="1">
        <v>228654</v>
      </c>
      <c r="S7" s="51" t="s">
        <v>94</v>
      </c>
      <c r="W7" s="51" t="s">
        <v>101</v>
      </c>
      <c r="AA7" s="51" t="s">
        <v>93</v>
      </c>
      <c r="AE7" s="51" t="s">
        <v>142</v>
      </c>
      <c r="AI7" s="51" t="s">
        <v>113</v>
      </c>
      <c r="AM7" s="51" t="s">
        <v>121</v>
      </c>
    </row>
    <row r="8" spans="7:40" x14ac:dyDescent="0.25">
      <c r="H8" s="1" t="s">
        <v>82</v>
      </c>
      <c r="I8" s="1">
        <v>2.7119300000000002</v>
      </c>
      <c r="J8" s="1">
        <v>91.003100000000003</v>
      </c>
      <c r="K8" s="1">
        <v>273.00900000000001</v>
      </c>
      <c r="L8" s="1">
        <f>AVERAGE(M8:O8)</f>
        <v>4945</v>
      </c>
      <c r="M8" s="1">
        <v>5076</v>
      </c>
      <c r="N8" s="1">
        <v>4683</v>
      </c>
      <c r="O8" s="1">
        <v>5076</v>
      </c>
      <c r="S8" s="51" t="s">
        <v>95</v>
      </c>
      <c r="W8" s="51" t="s">
        <v>102</v>
      </c>
      <c r="AA8" s="51" t="s">
        <v>131</v>
      </c>
      <c r="AE8" s="51" t="s">
        <v>143</v>
      </c>
      <c r="AI8" s="51" t="s">
        <v>114</v>
      </c>
      <c r="AM8" s="51" t="s">
        <v>122</v>
      </c>
    </row>
    <row r="9" spans="7:40" x14ac:dyDescent="0.25">
      <c r="S9" s="51" t="s">
        <v>96</v>
      </c>
      <c r="W9" s="51" t="s">
        <v>103</v>
      </c>
      <c r="AA9" s="51" t="s">
        <v>132</v>
      </c>
      <c r="AE9" s="51" t="s">
        <v>103</v>
      </c>
      <c r="AI9" s="51" t="s">
        <v>115</v>
      </c>
      <c r="AM9" s="51" t="s">
        <v>123</v>
      </c>
    </row>
    <row r="10" spans="7:40" x14ac:dyDescent="0.25">
      <c r="W10" s="51" t="s">
        <v>104</v>
      </c>
      <c r="AA10" s="51" t="s">
        <v>133</v>
      </c>
      <c r="AE10" s="51" t="s">
        <v>104</v>
      </c>
      <c r="AM10" s="51" t="s">
        <v>124</v>
      </c>
    </row>
    <row r="11" spans="7:40" x14ac:dyDescent="0.25">
      <c r="W11" s="51" t="s">
        <v>105</v>
      </c>
      <c r="AA11" s="51" t="s">
        <v>134</v>
      </c>
      <c r="AE11" s="51" t="s">
        <v>105</v>
      </c>
      <c r="AM11" s="51" t="s">
        <v>125</v>
      </c>
    </row>
    <row r="12" spans="7:40" x14ac:dyDescent="0.25">
      <c r="I12" s="1" t="s">
        <v>85</v>
      </c>
      <c r="J12" s="1" t="s">
        <v>84</v>
      </c>
      <c r="K12" s="1" t="s">
        <v>86</v>
      </c>
      <c r="L12" s="1" t="s">
        <v>88</v>
      </c>
      <c r="M12" s="1" t="s">
        <v>89</v>
      </c>
      <c r="N12" s="1" t="s">
        <v>90</v>
      </c>
      <c r="O12" s="1" t="s">
        <v>91</v>
      </c>
      <c r="W12" s="51" t="s">
        <v>106</v>
      </c>
      <c r="AA12" s="51" t="s">
        <v>135</v>
      </c>
      <c r="AE12" s="51" t="s">
        <v>144</v>
      </c>
      <c r="AM12" s="51" t="s">
        <v>126</v>
      </c>
    </row>
    <row r="13" spans="7:40" x14ac:dyDescent="0.25">
      <c r="G13" s="57" t="s">
        <v>81</v>
      </c>
      <c r="H13" s="1" t="s">
        <v>107</v>
      </c>
      <c r="I13" s="1">
        <v>11.934900000000001</v>
      </c>
      <c r="J13" s="1">
        <v>93.7684</v>
      </c>
      <c r="K13" s="1">
        <v>277.24</v>
      </c>
      <c r="L13" s="1">
        <f>AVERAGE(M13:O13)</f>
        <v>18475</v>
      </c>
      <c r="M13" s="1">
        <v>18680</v>
      </c>
      <c r="N13" s="1">
        <v>18680</v>
      </c>
      <c r="O13" s="1">
        <v>18065</v>
      </c>
      <c r="AA13" s="51" t="s">
        <v>136</v>
      </c>
      <c r="AE13" s="51" t="s">
        <v>145</v>
      </c>
      <c r="AM13" s="51" t="s">
        <v>127</v>
      </c>
    </row>
    <row r="14" spans="7:40" x14ac:dyDescent="0.25">
      <c r="G14" s="57"/>
      <c r="H14" s="1" t="s">
        <v>108</v>
      </c>
      <c r="I14" s="1">
        <v>5.58094</v>
      </c>
      <c r="J14" s="1">
        <v>33.2104</v>
      </c>
      <c r="K14" s="1">
        <v>86.623400000000004</v>
      </c>
      <c r="L14" s="62">
        <f t="shared" ref="L14:L19" si="0">AVERAGE(M14:O14)</f>
        <v>3880.3333333333335</v>
      </c>
      <c r="M14" s="1">
        <v>4078</v>
      </c>
      <c r="N14" s="1">
        <v>4078</v>
      </c>
      <c r="O14" s="1">
        <v>3485</v>
      </c>
      <c r="AA14" s="51" t="s">
        <v>137</v>
      </c>
    </row>
    <row r="15" spans="7:40" x14ac:dyDescent="0.25">
      <c r="G15" s="57"/>
      <c r="H15" s="1" t="s">
        <v>109</v>
      </c>
      <c r="I15" s="1">
        <v>5.5964200000000002</v>
      </c>
      <c r="J15" s="1">
        <v>17.502600000000001</v>
      </c>
      <c r="K15" s="1">
        <v>49.211300000000001</v>
      </c>
      <c r="L15" s="1">
        <f t="shared" si="0"/>
        <v>18001</v>
      </c>
      <c r="M15" s="1">
        <v>18200</v>
      </c>
      <c r="N15" s="1">
        <v>18200</v>
      </c>
      <c r="O15" s="1">
        <v>17603</v>
      </c>
      <c r="AA15" s="51" t="s">
        <v>138</v>
      </c>
    </row>
    <row r="16" spans="7:40" x14ac:dyDescent="0.25">
      <c r="G16" s="57"/>
      <c r="H16" s="1" t="s">
        <v>117</v>
      </c>
      <c r="I16" s="1">
        <v>15.7584</v>
      </c>
      <c r="J16" s="1">
        <v>294.62400000000002</v>
      </c>
      <c r="K16" s="1">
        <v>880.745</v>
      </c>
      <c r="L16" s="62">
        <f t="shared" si="0"/>
        <v>3807.3333333333335</v>
      </c>
      <c r="M16" s="1">
        <v>3907</v>
      </c>
      <c r="N16" s="1">
        <v>3907</v>
      </c>
      <c r="O16" s="1">
        <v>3608</v>
      </c>
    </row>
    <row r="17" spans="7:15" x14ac:dyDescent="0.25">
      <c r="G17" s="57"/>
      <c r="H17" s="1" t="s">
        <v>116</v>
      </c>
      <c r="I17" s="1">
        <v>6.3415400000000002</v>
      </c>
      <c r="J17" s="1">
        <v>12.1477</v>
      </c>
      <c r="K17" s="1">
        <v>33.075899999999997</v>
      </c>
      <c r="L17" s="1">
        <f t="shared" si="0"/>
        <v>19345</v>
      </c>
      <c r="M17" s="1">
        <v>19635</v>
      </c>
      <c r="N17" s="1">
        <v>19635</v>
      </c>
      <c r="O17" s="1">
        <v>18765</v>
      </c>
    </row>
    <row r="19" spans="7:15" x14ac:dyDescent="0.25">
      <c r="G19" s="63" t="s">
        <v>80</v>
      </c>
      <c r="H19" s="1" t="s">
        <v>116</v>
      </c>
      <c r="I19" s="1">
        <v>2437.11</v>
      </c>
      <c r="J19" s="1">
        <v>96131.1</v>
      </c>
      <c r="K19" s="1">
        <v>288148</v>
      </c>
      <c r="L19" s="1">
        <f t="shared" si="0"/>
        <v>495440</v>
      </c>
      <c r="M19" s="1">
        <v>591116</v>
      </c>
      <c r="N19" s="1">
        <v>449373</v>
      </c>
      <c r="O19" s="1">
        <v>445831</v>
      </c>
    </row>
  </sheetData>
  <mergeCells count="1">
    <mergeCell ref="G13:G17"/>
  </mergeCells>
  <phoneticPr fontId="1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B2C075-A49A-47F3-99FE-EDDC5A6E5B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Steps 1,2,3</vt:lpstr>
      <vt:lpstr>Steps 4,5,6,7,8</vt:lpstr>
      <vt:lpstr>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Guilherme Lopes Pinheiro Soares</dc:creator>
  <cp:lastModifiedBy>Miguel Guilherme Lopes Pinheiro Soares</cp:lastModifiedBy>
  <dcterms:created xsi:type="dcterms:W3CDTF">2026-05-28T18:35:37Z</dcterms:created>
  <dcterms:modified xsi:type="dcterms:W3CDTF">2026-06-04T13:12:51Z</dcterms:modified>
</cp:coreProperties>
</file>