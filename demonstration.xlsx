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arning\MECD\2sem\SegComm\proj\mpc-project\"/>
    </mc:Choice>
  </mc:AlternateContent>
  <xr:revisionPtr revIDLastSave="0" documentId="13_ncr:1_{EB305B1D-238F-4C7E-82D3-80CCA4DC79B4}" xr6:coauthVersionLast="47" xr6:coauthVersionMax="47" xr10:uidLastSave="{00000000-0000-0000-0000-000000000000}"/>
  <bookViews>
    <workbookView xWindow="-120" yWindow="-120" windowWidth="29040" windowHeight="15840" activeTab="1" xr2:uid="{D225F831-1AED-4309-98C0-BCDCF2B662F6}"/>
  </bookViews>
  <sheets>
    <sheet name="Table5" sheetId="6" r:id="rId1"/>
    <sheet name="Sheet1" sheetId="1" r:id="rId2"/>
  </sheets>
  <definedNames>
    <definedName name="ExternalData_1" localSheetId="0" hidden="1">Table5!$A$1:$C$61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0" i="1" l="1"/>
  <c r="CI14" i="1"/>
  <c r="CH14" i="1" s="1"/>
  <c r="CG14" i="1" s="1"/>
  <c r="CF14" i="1" s="1"/>
  <c r="CE14" i="1" s="1"/>
  <c r="CD14" i="1" s="1"/>
  <c r="CC14" i="1" s="1"/>
  <c r="CB14" i="1" s="1"/>
  <c r="CA14" i="1" s="1"/>
  <c r="BZ14" i="1" s="1"/>
  <c r="BY14" i="1" s="1"/>
  <c r="BX14" i="1" s="1"/>
  <c r="BW14" i="1" s="1"/>
  <c r="BV14" i="1" s="1"/>
  <c r="BU14" i="1" s="1"/>
  <c r="BT14" i="1" s="1"/>
  <c r="BS14" i="1" s="1"/>
  <c r="BR14" i="1" s="1"/>
  <c r="BQ14" i="1" s="1"/>
  <c r="BP14" i="1" s="1"/>
  <c r="BO14" i="1" s="1"/>
  <c r="BN14" i="1" s="1"/>
  <c r="BM14" i="1" s="1"/>
  <c r="BL14" i="1" s="1"/>
  <c r="BK14" i="1" s="1"/>
  <c r="BJ14" i="1" s="1"/>
  <c r="BI14" i="1" s="1"/>
  <c r="BH14" i="1" s="1"/>
  <c r="BG14" i="1" s="1"/>
  <c r="BF14" i="1" s="1"/>
  <c r="BE14" i="1" s="1"/>
  <c r="BD14" i="1" s="1"/>
  <c r="BC14" i="1" s="1"/>
  <c r="BB14" i="1" s="1"/>
  <c r="BA14" i="1" s="1"/>
  <c r="AZ14" i="1" s="1"/>
  <c r="AY14" i="1" s="1"/>
  <c r="AX14" i="1" s="1"/>
  <c r="AW14" i="1" s="1"/>
  <c r="AV14" i="1" s="1"/>
  <c r="AU14" i="1" s="1"/>
  <c r="AT14" i="1" s="1"/>
  <c r="AS14" i="1" s="1"/>
  <c r="AR14" i="1" s="1"/>
  <c r="AQ14" i="1" s="1"/>
  <c r="AP14" i="1" s="1"/>
  <c r="AO14" i="1" s="1"/>
  <c r="AN14" i="1" s="1"/>
  <c r="AM14" i="1" s="1"/>
  <c r="AL14" i="1" s="1"/>
  <c r="AK14" i="1" s="1"/>
  <c r="AJ14" i="1" s="1"/>
  <c r="AI14" i="1" s="1"/>
  <c r="AH14" i="1" s="1"/>
  <c r="AG14" i="1" s="1"/>
  <c r="AF14" i="1" s="1"/>
  <c r="AE14" i="1" s="1"/>
  <c r="AD14" i="1" s="1"/>
  <c r="CJ14" i="1"/>
  <c r="CK14" i="1"/>
  <c r="AF10" i="1"/>
  <c r="AG10" i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AE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74F517-D039-48CA-91B4-012EEE228898}" keepAlive="1" name="Query - 0" description="Connection to the '0' query in the workbook." type="5" refreshedVersion="0" background="1">
    <dbPr connection="Provider=Microsoft.Mashup.OleDb.1;Data Source=$Workbook$;Location=0;Extended Properties=&quot;&quot;" command="SELECT * FROM [0]"/>
  </connection>
  <connection id="2" xr16:uid="{6981044F-B66C-4A8E-8AEC-336FAC0D37A2}" keepAlive="1" name="Query - 0 (2)" description="Connection to the '0 (2)' query in the workbook." type="5" refreshedVersion="0" background="1">
    <dbPr connection="Provider=Microsoft.Mashup.OleDb.1;Data Source=$Workbook$;Location=&quot;0 (2)&quot;;Extended Properties=&quot;&quot;" command="SELECT * FROM [0 (2)]"/>
  </connection>
  <connection id="3" xr16:uid="{6F6E207C-E9C2-4A92-8649-1A90140C5F9E}" keepAlive="1" name="Query - 1" description="Connection to the '1' query in the workbook." type="5" refreshedVersion="0" background="1">
    <dbPr connection="Provider=Microsoft.Mashup.OleDb.1;Data Source=$Workbook$;Location=1;Extended Properties=&quot;&quot;" command="SELECT * FROM [1]"/>
  </connection>
  <connection id="4" xr16:uid="{74B73034-A88D-4463-8779-8AC2ED9647BB}" keepAlive="1" name="Query - 2" description="Connection to the '2' query in the workbook." type="5" refreshedVersion="0" background="1">
    <dbPr connection="Provider=Microsoft.Mashup.OleDb.1;Data Source=$Workbook$;Location=2;Extended Properties=&quot;&quot;" command="SELECT * FROM [2]"/>
  </connection>
  <connection id="5" xr16:uid="{E27404D2-F04B-4CA8-A8C3-D7EA1674B9D6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<sst xmlns="http://schemas.openxmlformats.org/spreadsheetml/2006/main" count="65" uniqueCount="21">
  <si>
    <t>Column1</t>
  </si>
  <si>
    <t>Column2</t>
  </si>
  <si>
    <t>Column3</t>
  </si>
  <si>
    <t>Party 0</t>
  </si>
  <si>
    <t>BTC</t>
  </si>
  <si>
    <t>Party 1</t>
  </si>
  <si>
    <t>Party 2</t>
  </si>
  <si>
    <t>Inputs</t>
  </si>
  <si>
    <t xml:space="preserve"> </t>
  </si>
  <si>
    <t>bid_p</t>
  </si>
  <si>
    <t>bid_q</t>
  </si>
  <si>
    <t>ask_p</t>
  </si>
  <si>
    <t>ask_q</t>
  </si>
  <si>
    <t>Rank Matrix For BTC (secret matrix)</t>
  </si>
  <si>
    <t>.sort()</t>
  </si>
  <si>
    <t>Supply and demand curves</t>
  </si>
  <si>
    <t>price</t>
  </si>
  <si>
    <t>supply</t>
  </si>
  <si>
    <t>demand</t>
  </si>
  <si>
    <t>left to right (asking quantity)</t>
  </si>
  <si>
    <t>right to left (bidding 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</si>
</sst>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390C2FC-9222-4EAB-9C5A-A629385794E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E6D1D1-2A02-4C97-AEFD-9F2C59AA47FC}" name="Table5_1" displayName="Table5_1" ref="A1:C61" tableType="queryTable" totalsRowShown="0">
  <autoFilter ref="A1:C61" xr:uid="{79E6D1D1-2A02-4C97-AEFD-9F2C59AA47FC}"/>
  <sortState xmlns:xlrd2="http://schemas.microsoft.com/office/spreadsheetml/2017/richdata2" ref="A2:C61">
    <sortCondition ref="A1:A61"/>
  </sortState>
  <tableColumns count="3">
    <tableColumn id="1" xr3:uid="{6E0FCF91-951C-4D96-8CBD-B14B5A7734E9}" uniqueName="1" name="Column1" queryTableFieldId="1"/>
    <tableColumn id="2" xr3:uid="{2EAD07A4-AD77-4AE5-A630-F81F23F43A49}" uniqueName="2" name="Column2" queryTableFieldId="2"/>
    <tableColumn id="3" xr3:uid="{F387CB52-D2CE-4AEF-9DBC-457D13F9B89D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BED0-684E-4304-8347-2CFD9B4D2982}">
  <dimension ref="A1:C61"/>
  <sheetViews>
    <sheetView topLeftCell="A31" workbookViewId="0">
      <selection activeCell="A2" sqref="A2:C61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0</v>
      </c>
      <c r="B4">
        <v>0</v>
      </c>
      <c r="C4">
        <v>0</v>
      </c>
    </row>
    <row r="5" spans="1:3" x14ac:dyDescent="0.25">
      <c r="A5">
        <v>0</v>
      </c>
      <c r="B5">
        <v>0</v>
      </c>
      <c r="C5">
        <v>0</v>
      </c>
    </row>
    <row r="6" spans="1:3" x14ac:dyDescent="0.25">
      <c r="A6">
        <v>0</v>
      </c>
      <c r="B6">
        <v>0</v>
      </c>
      <c r="C6">
        <v>0</v>
      </c>
    </row>
    <row r="7" spans="1:3" x14ac:dyDescent="0.25">
      <c r="A7">
        <v>0</v>
      </c>
      <c r="B7">
        <v>0</v>
      </c>
      <c r="C7">
        <v>0</v>
      </c>
    </row>
    <row r="8" spans="1:3" x14ac:dyDescent="0.25">
      <c r="A8">
        <v>0</v>
      </c>
      <c r="B8">
        <v>0</v>
      </c>
      <c r="C8">
        <v>0</v>
      </c>
    </row>
    <row r="9" spans="1:3" x14ac:dyDescent="0.25">
      <c r="A9">
        <v>0</v>
      </c>
      <c r="B9">
        <v>0</v>
      </c>
      <c r="C9">
        <v>0</v>
      </c>
    </row>
    <row r="10" spans="1:3" x14ac:dyDescent="0.25">
      <c r="A10">
        <v>0</v>
      </c>
      <c r="B10">
        <v>0</v>
      </c>
      <c r="C10">
        <v>0</v>
      </c>
    </row>
    <row r="11" spans="1:3" x14ac:dyDescent="0.25">
      <c r="A11">
        <v>0</v>
      </c>
      <c r="B11">
        <v>0</v>
      </c>
      <c r="C11">
        <v>0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0</v>
      </c>
      <c r="B13">
        <v>0</v>
      </c>
      <c r="C13">
        <v>0</v>
      </c>
    </row>
    <row r="14" spans="1:3" x14ac:dyDescent="0.25">
      <c r="A14">
        <v>0</v>
      </c>
      <c r="B14">
        <v>0</v>
      </c>
      <c r="C14">
        <v>0</v>
      </c>
    </row>
    <row r="15" spans="1:3" x14ac:dyDescent="0.25">
      <c r="A15">
        <v>0</v>
      </c>
      <c r="B15">
        <v>0</v>
      </c>
      <c r="C15">
        <v>0</v>
      </c>
    </row>
    <row r="16" spans="1:3" x14ac:dyDescent="0.25">
      <c r="A16">
        <v>0</v>
      </c>
      <c r="B16">
        <v>0</v>
      </c>
      <c r="C16">
        <v>0</v>
      </c>
    </row>
    <row r="17" spans="1:3" x14ac:dyDescent="0.25">
      <c r="A17">
        <v>0</v>
      </c>
      <c r="B17">
        <v>0</v>
      </c>
      <c r="C17">
        <v>0</v>
      </c>
    </row>
    <row r="18" spans="1:3" x14ac:dyDescent="0.25">
      <c r="A18">
        <v>0</v>
      </c>
      <c r="B18">
        <v>0</v>
      </c>
      <c r="C18">
        <v>0</v>
      </c>
    </row>
    <row r="19" spans="1:3" x14ac:dyDescent="0.25">
      <c r="A19">
        <v>0</v>
      </c>
      <c r="B19">
        <v>0</v>
      </c>
      <c r="C19">
        <v>0</v>
      </c>
    </row>
    <row r="20" spans="1:3" x14ac:dyDescent="0.25">
      <c r="A20">
        <v>0</v>
      </c>
      <c r="B20">
        <v>0</v>
      </c>
      <c r="C20">
        <v>0</v>
      </c>
    </row>
    <row r="21" spans="1:3" x14ac:dyDescent="0.25">
      <c r="A21">
        <v>0</v>
      </c>
      <c r="B21">
        <v>0</v>
      </c>
      <c r="C21">
        <v>0</v>
      </c>
    </row>
    <row r="22" spans="1:3" x14ac:dyDescent="0.25">
      <c r="A22">
        <v>0</v>
      </c>
      <c r="B22">
        <v>0</v>
      </c>
      <c r="C22">
        <v>0</v>
      </c>
    </row>
    <row r="23" spans="1:3" x14ac:dyDescent="0.25">
      <c r="A23">
        <v>0</v>
      </c>
      <c r="B23">
        <v>0</v>
      </c>
      <c r="C23">
        <v>0</v>
      </c>
    </row>
    <row r="24" spans="1:3" x14ac:dyDescent="0.25">
      <c r="A24">
        <v>0</v>
      </c>
      <c r="B24">
        <v>0</v>
      </c>
      <c r="C24">
        <v>0</v>
      </c>
    </row>
    <row r="25" spans="1:3" x14ac:dyDescent="0.25">
      <c r="A25">
        <v>85</v>
      </c>
      <c r="B25">
        <v>1</v>
      </c>
      <c r="C25">
        <v>0</v>
      </c>
    </row>
    <row r="26" spans="1:3" x14ac:dyDescent="0.25">
      <c r="A26">
        <v>85</v>
      </c>
      <c r="B26">
        <v>2</v>
      </c>
      <c r="C26">
        <v>0</v>
      </c>
    </row>
    <row r="27" spans="1:3" x14ac:dyDescent="0.25">
      <c r="A27">
        <v>86</v>
      </c>
      <c r="B27">
        <v>2</v>
      </c>
      <c r="C27">
        <v>0</v>
      </c>
    </row>
    <row r="28" spans="1:3" x14ac:dyDescent="0.25">
      <c r="A28">
        <v>88</v>
      </c>
      <c r="B28">
        <v>3</v>
      </c>
      <c r="C28">
        <v>0</v>
      </c>
    </row>
    <row r="29" spans="1:3" x14ac:dyDescent="0.25">
      <c r="A29">
        <v>91</v>
      </c>
      <c r="B29">
        <v>5</v>
      </c>
      <c r="C29">
        <v>0</v>
      </c>
    </row>
    <row r="30" spans="1:3" x14ac:dyDescent="0.25">
      <c r="A30">
        <v>92</v>
      </c>
      <c r="B30">
        <v>4</v>
      </c>
      <c r="C30">
        <v>0</v>
      </c>
    </row>
    <row r="31" spans="1:3" x14ac:dyDescent="0.25">
      <c r="A31">
        <v>92</v>
      </c>
      <c r="B31">
        <v>5</v>
      </c>
      <c r="C31">
        <v>0</v>
      </c>
    </row>
    <row r="32" spans="1:3" x14ac:dyDescent="0.25">
      <c r="A32">
        <v>93</v>
      </c>
      <c r="B32">
        <v>2</v>
      </c>
      <c r="C32">
        <v>0</v>
      </c>
    </row>
    <row r="33" spans="1:3" x14ac:dyDescent="0.25">
      <c r="A33">
        <v>93</v>
      </c>
      <c r="B33">
        <v>2</v>
      </c>
      <c r="C33">
        <v>0</v>
      </c>
    </row>
    <row r="34" spans="1:3" x14ac:dyDescent="0.25">
      <c r="A34">
        <v>96</v>
      </c>
      <c r="B34">
        <v>5</v>
      </c>
      <c r="C34">
        <v>0</v>
      </c>
    </row>
    <row r="35" spans="1:3" x14ac:dyDescent="0.25">
      <c r="A35">
        <v>96</v>
      </c>
      <c r="B35">
        <v>4</v>
      </c>
      <c r="C35">
        <v>0</v>
      </c>
    </row>
    <row r="36" spans="1:3" x14ac:dyDescent="0.25">
      <c r="A36">
        <v>97</v>
      </c>
      <c r="B36">
        <v>0</v>
      </c>
      <c r="C36">
        <v>4</v>
      </c>
    </row>
    <row r="37" spans="1:3" x14ac:dyDescent="0.25">
      <c r="A37">
        <v>98</v>
      </c>
      <c r="B37">
        <v>2</v>
      </c>
      <c r="C37">
        <v>0</v>
      </c>
    </row>
    <row r="38" spans="1:3" x14ac:dyDescent="0.25">
      <c r="A38">
        <v>98</v>
      </c>
      <c r="B38">
        <v>5</v>
      </c>
      <c r="C38">
        <v>0</v>
      </c>
    </row>
    <row r="39" spans="1:3" x14ac:dyDescent="0.25">
      <c r="A39">
        <v>98</v>
      </c>
      <c r="B39">
        <v>0</v>
      </c>
      <c r="C39">
        <v>1</v>
      </c>
    </row>
    <row r="40" spans="1:3" x14ac:dyDescent="0.25">
      <c r="A40">
        <v>100</v>
      </c>
      <c r="B40">
        <v>0</v>
      </c>
      <c r="C40">
        <v>1</v>
      </c>
    </row>
    <row r="41" spans="1:3" x14ac:dyDescent="0.25">
      <c r="A41">
        <v>100</v>
      </c>
      <c r="B41">
        <v>0</v>
      </c>
      <c r="C41">
        <v>4</v>
      </c>
    </row>
    <row r="42" spans="1:3" x14ac:dyDescent="0.25">
      <c r="A42">
        <v>101</v>
      </c>
      <c r="B42">
        <v>1</v>
      </c>
      <c r="C42">
        <v>0</v>
      </c>
    </row>
    <row r="43" spans="1:3" x14ac:dyDescent="0.25">
      <c r="A43">
        <v>101</v>
      </c>
      <c r="B43">
        <v>0</v>
      </c>
      <c r="C43">
        <v>2</v>
      </c>
    </row>
    <row r="44" spans="1:3" x14ac:dyDescent="0.25">
      <c r="A44">
        <v>103</v>
      </c>
      <c r="B44">
        <v>1</v>
      </c>
      <c r="C44">
        <v>0</v>
      </c>
    </row>
    <row r="45" spans="1:3" x14ac:dyDescent="0.25">
      <c r="A45">
        <v>103</v>
      </c>
      <c r="B45">
        <v>1</v>
      </c>
      <c r="C45">
        <v>0</v>
      </c>
    </row>
    <row r="46" spans="1:3" x14ac:dyDescent="0.25">
      <c r="A46">
        <v>103</v>
      </c>
      <c r="B46">
        <v>0</v>
      </c>
      <c r="C46">
        <v>2</v>
      </c>
    </row>
    <row r="47" spans="1:3" x14ac:dyDescent="0.25">
      <c r="A47">
        <v>103</v>
      </c>
      <c r="B47">
        <v>0</v>
      </c>
      <c r="C47">
        <v>1</v>
      </c>
    </row>
    <row r="48" spans="1:3" x14ac:dyDescent="0.25">
      <c r="A48">
        <v>104</v>
      </c>
      <c r="B48">
        <v>3</v>
      </c>
      <c r="C48">
        <v>0</v>
      </c>
    </row>
    <row r="49" spans="1:3" x14ac:dyDescent="0.25">
      <c r="A49">
        <v>106</v>
      </c>
      <c r="B49">
        <v>5</v>
      </c>
      <c r="C49">
        <v>0</v>
      </c>
    </row>
    <row r="50" spans="1:3" x14ac:dyDescent="0.25">
      <c r="A50">
        <v>106</v>
      </c>
      <c r="B50">
        <v>4</v>
      </c>
      <c r="C50">
        <v>0</v>
      </c>
    </row>
    <row r="51" spans="1:3" x14ac:dyDescent="0.25">
      <c r="A51">
        <v>106</v>
      </c>
      <c r="B51">
        <v>3</v>
      </c>
      <c r="C51">
        <v>0</v>
      </c>
    </row>
    <row r="52" spans="1:3" x14ac:dyDescent="0.25">
      <c r="A52">
        <v>106</v>
      </c>
      <c r="B52">
        <v>0</v>
      </c>
      <c r="C52">
        <v>1</v>
      </c>
    </row>
    <row r="53" spans="1:3" x14ac:dyDescent="0.25">
      <c r="A53">
        <v>107</v>
      </c>
      <c r="B53">
        <v>0</v>
      </c>
      <c r="C53">
        <v>1</v>
      </c>
    </row>
    <row r="54" spans="1:3" x14ac:dyDescent="0.25">
      <c r="A54">
        <v>108</v>
      </c>
      <c r="B54">
        <v>0</v>
      </c>
      <c r="C54">
        <v>2</v>
      </c>
    </row>
    <row r="55" spans="1:3" x14ac:dyDescent="0.25">
      <c r="A55">
        <v>109</v>
      </c>
      <c r="B55">
        <v>3</v>
      </c>
      <c r="C55">
        <v>0</v>
      </c>
    </row>
    <row r="56" spans="1:3" x14ac:dyDescent="0.25">
      <c r="A56">
        <v>109</v>
      </c>
      <c r="B56">
        <v>0</v>
      </c>
      <c r="C56">
        <v>3</v>
      </c>
    </row>
    <row r="57" spans="1:3" x14ac:dyDescent="0.25">
      <c r="A57">
        <v>112</v>
      </c>
      <c r="B57">
        <v>0</v>
      </c>
      <c r="C57">
        <v>2</v>
      </c>
    </row>
    <row r="58" spans="1:3" x14ac:dyDescent="0.25">
      <c r="A58">
        <v>116</v>
      </c>
      <c r="B58">
        <v>0</v>
      </c>
      <c r="C58">
        <v>3</v>
      </c>
    </row>
    <row r="59" spans="1:3" x14ac:dyDescent="0.25">
      <c r="A59">
        <v>117</v>
      </c>
      <c r="B59">
        <v>0</v>
      </c>
      <c r="C59">
        <v>4</v>
      </c>
    </row>
    <row r="60" spans="1:3" x14ac:dyDescent="0.25">
      <c r="A60">
        <v>119</v>
      </c>
      <c r="B60">
        <v>0</v>
      </c>
      <c r="C60">
        <v>2</v>
      </c>
    </row>
    <row r="61" spans="1:3" x14ac:dyDescent="0.25">
      <c r="A61">
        <v>120</v>
      </c>
      <c r="B61">
        <v>0</v>
      </c>
      <c r="C6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B253-7810-412E-AF0B-68A6AF60179F}">
  <dimension ref="D1:CK65"/>
  <sheetViews>
    <sheetView tabSelected="1" topLeftCell="S1" workbookViewId="0">
      <selection activeCell="AC16" sqref="AC16"/>
    </sheetView>
  </sheetViews>
  <sheetFormatPr defaultRowHeight="15.75" x14ac:dyDescent="0.25"/>
  <cols>
    <col min="1" max="33" width="9.140625" style="1"/>
    <col min="34" max="34" width="9.140625" style="32"/>
    <col min="35" max="37" width="11.5703125" style="32" customWidth="1"/>
    <col min="38" max="38" width="9.140625" style="32"/>
    <col min="39" max="16384" width="9.140625" style="1"/>
  </cols>
  <sheetData>
    <row r="1" spans="4:89" x14ac:dyDescent="0.25">
      <c r="BT1" s="1" t="s">
        <v>8</v>
      </c>
    </row>
    <row r="2" spans="4:89" ht="30" customHeight="1" x14ac:dyDescent="0.25"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U2" s="2" t="s">
        <v>13</v>
      </c>
      <c r="V2" s="2"/>
      <c r="W2" s="2"/>
      <c r="X2" s="3"/>
      <c r="Y2" s="42" t="s">
        <v>14</v>
      </c>
      <c r="Z2" s="42"/>
      <c r="AA2" s="42"/>
      <c r="AC2" s="42" t="s">
        <v>15</v>
      </c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</row>
    <row r="4" spans="4:89" x14ac:dyDescent="0.25">
      <c r="D4" s="4" t="s">
        <v>3</v>
      </c>
      <c r="E4" s="4" t="s">
        <v>4</v>
      </c>
      <c r="F4" s="4"/>
      <c r="G4" s="4"/>
      <c r="I4" s="5" t="s">
        <v>5</v>
      </c>
      <c r="J4" s="5" t="s">
        <v>4</v>
      </c>
      <c r="K4" s="5"/>
      <c r="L4" s="5"/>
      <c r="N4" s="6" t="s">
        <v>6</v>
      </c>
      <c r="O4" s="6" t="s">
        <v>4</v>
      </c>
      <c r="P4" s="6"/>
      <c r="Q4" s="6"/>
      <c r="U4" s="7" t="s">
        <v>16</v>
      </c>
      <c r="V4" s="7" t="s">
        <v>10</v>
      </c>
      <c r="W4" s="8" t="s">
        <v>12</v>
      </c>
      <c r="Y4" s="7" t="s">
        <v>16</v>
      </c>
      <c r="Z4" s="43" t="s">
        <v>10</v>
      </c>
      <c r="AA4" s="44" t="s">
        <v>12</v>
      </c>
      <c r="AB4" s="5"/>
      <c r="AC4" s="7" t="s">
        <v>16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44">
        <v>0</v>
      </c>
      <c r="AJ4" s="44">
        <v>0</v>
      </c>
      <c r="AK4" s="44">
        <v>0</v>
      </c>
      <c r="AL4" s="44">
        <v>0</v>
      </c>
      <c r="AM4" s="44">
        <v>0</v>
      </c>
      <c r="AN4" s="44">
        <v>0</v>
      </c>
      <c r="AO4" s="44">
        <v>0</v>
      </c>
      <c r="AP4" s="44">
        <v>0</v>
      </c>
      <c r="AQ4" s="44">
        <v>0</v>
      </c>
      <c r="AR4" s="44">
        <v>0</v>
      </c>
      <c r="AS4" s="44">
        <v>0</v>
      </c>
      <c r="AT4" s="44">
        <v>0</v>
      </c>
      <c r="AU4" s="44">
        <v>0</v>
      </c>
      <c r="AV4" s="44">
        <v>0</v>
      </c>
      <c r="AW4" s="44">
        <v>0</v>
      </c>
      <c r="AX4" s="44">
        <v>0</v>
      </c>
      <c r="AY4" s="44">
        <v>0</v>
      </c>
      <c r="AZ4" s="44">
        <v>0</v>
      </c>
      <c r="BA4" s="44">
        <v>85</v>
      </c>
      <c r="BB4" s="44">
        <v>85</v>
      </c>
      <c r="BC4" s="44">
        <v>86</v>
      </c>
      <c r="BD4" s="44">
        <v>88</v>
      </c>
      <c r="BE4" s="44">
        <v>91</v>
      </c>
      <c r="BF4" s="44">
        <v>92</v>
      </c>
      <c r="BG4" s="44">
        <v>92</v>
      </c>
      <c r="BH4" s="44">
        <v>93</v>
      </c>
      <c r="BI4" s="44">
        <v>93</v>
      </c>
      <c r="BJ4" s="44">
        <v>96</v>
      </c>
      <c r="BK4" s="44">
        <v>96</v>
      </c>
      <c r="BL4" s="44">
        <v>97</v>
      </c>
      <c r="BM4" s="44">
        <v>98</v>
      </c>
      <c r="BN4" s="44">
        <v>98</v>
      </c>
      <c r="BO4" s="44">
        <v>98</v>
      </c>
      <c r="BP4" s="44">
        <v>100</v>
      </c>
      <c r="BQ4" s="44">
        <v>100</v>
      </c>
      <c r="BR4" s="44">
        <v>101</v>
      </c>
      <c r="BS4" s="44">
        <v>101</v>
      </c>
      <c r="BT4" s="44">
        <v>103</v>
      </c>
      <c r="BU4" s="44">
        <v>103</v>
      </c>
      <c r="BV4" s="44">
        <v>103</v>
      </c>
      <c r="BW4" s="44">
        <v>103</v>
      </c>
      <c r="BX4" s="44">
        <v>104</v>
      </c>
      <c r="BY4" s="44">
        <v>106</v>
      </c>
      <c r="BZ4" s="44">
        <v>106</v>
      </c>
      <c r="CA4" s="44">
        <v>106</v>
      </c>
      <c r="CB4" s="44">
        <v>106</v>
      </c>
      <c r="CC4" s="44">
        <v>107</v>
      </c>
      <c r="CD4" s="44">
        <v>108</v>
      </c>
      <c r="CE4" s="44">
        <v>109</v>
      </c>
      <c r="CF4" s="44">
        <v>109</v>
      </c>
      <c r="CG4" s="44">
        <v>112</v>
      </c>
      <c r="CH4" s="44">
        <v>116</v>
      </c>
      <c r="CI4" s="44">
        <v>117</v>
      </c>
      <c r="CJ4" s="44">
        <v>119</v>
      </c>
      <c r="CK4" s="44">
        <v>120</v>
      </c>
    </row>
    <row r="5" spans="4:89" x14ac:dyDescent="0.25">
      <c r="D5" s="4" t="s">
        <v>9</v>
      </c>
      <c r="E5" s="4" t="s">
        <v>10</v>
      </c>
      <c r="F5" s="4" t="s">
        <v>11</v>
      </c>
      <c r="G5" s="4" t="s">
        <v>12</v>
      </c>
      <c r="I5" s="5" t="s">
        <v>9</v>
      </c>
      <c r="J5" s="5" t="s">
        <v>10</v>
      </c>
      <c r="K5" s="5" t="s">
        <v>11</v>
      </c>
      <c r="L5" s="5" t="s">
        <v>12</v>
      </c>
      <c r="N5" s="6" t="s">
        <v>9</v>
      </c>
      <c r="O5" s="6" t="s">
        <v>10</v>
      </c>
      <c r="P5" s="6" t="s">
        <v>11</v>
      </c>
      <c r="Q5" s="6" t="s">
        <v>12</v>
      </c>
      <c r="U5" s="9">
        <v>0</v>
      </c>
      <c r="V5" s="10">
        <v>0</v>
      </c>
      <c r="W5" s="11">
        <v>0</v>
      </c>
      <c r="Y5" s="44">
        <v>0</v>
      </c>
      <c r="Z5" s="44">
        <v>0</v>
      </c>
      <c r="AA5" s="44">
        <v>0</v>
      </c>
      <c r="AC5" s="43" t="s">
        <v>10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S5" s="44">
        <v>0</v>
      </c>
      <c r="AT5" s="44">
        <v>0</v>
      </c>
      <c r="AU5" s="44">
        <v>0</v>
      </c>
      <c r="AV5" s="44">
        <v>0</v>
      </c>
      <c r="AW5" s="44">
        <v>0</v>
      </c>
      <c r="AX5" s="44">
        <v>0</v>
      </c>
      <c r="AY5" s="44">
        <v>0</v>
      </c>
      <c r="AZ5" s="44">
        <v>0</v>
      </c>
      <c r="BA5" s="44">
        <v>1</v>
      </c>
      <c r="BB5" s="44">
        <v>2</v>
      </c>
      <c r="BC5" s="44">
        <v>2</v>
      </c>
      <c r="BD5" s="44">
        <v>3</v>
      </c>
      <c r="BE5" s="44">
        <v>5</v>
      </c>
      <c r="BF5" s="44">
        <v>4</v>
      </c>
      <c r="BG5" s="44">
        <v>5</v>
      </c>
      <c r="BH5" s="44">
        <v>2</v>
      </c>
      <c r="BI5" s="44">
        <v>2</v>
      </c>
      <c r="BJ5" s="44">
        <v>5</v>
      </c>
      <c r="BK5" s="44">
        <v>4</v>
      </c>
      <c r="BL5" s="44">
        <v>0</v>
      </c>
      <c r="BM5" s="44">
        <v>2</v>
      </c>
      <c r="BN5" s="44">
        <v>5</v>
      </c>
      <c r="BO5" s="44">
        <v>0</v>
      </c>
      <c r="BP5" s="44">
        <v>0</v>
      </c>
      <c r="BQ5" s="44">
        <v>0</v>
      </c>
      <c r="BR5" s="44">
        <v>1</v>
      </c>
      <c r="BS5" s="44">
        <v>0</v>
      </c>
      <c r="BT5" s="44">
        <v>1</v>
      </c>
      <c r="BU5" s="44">
        <v>1</v>
      </c>
      <c r="BV5" s="44">
        <v>0</v>
      </c>
      <c r="BW5" s="44">
        <v>0</v>
      </c>
      <c r="BX5" s="44">
        <v>3</v>
      </c>
      <c r="BY5" s="44">
        <v>5</v>
      </c>
      <c r="BZ5" s="44">
        <v>4</v>
      </c>
      <c r="CA5" s="44">
        <v>3</v>
      </c>
      <c r="CB5" s="44">
        <v>0</v>
      </c>
      <c r="CC5" s="44">
        <v>0</v>
      </c>
      <c r="CD5" s="44">
        <v>0</v>
      </c>
      <c r="CE5" s="44">
        <v>3</v>
      </c>
      <c r="CF5" s="44">
        <v>0</v>
      </c>
      <c r="CG5" s="44">
        <v>0</v>
      </c>
      <c r="CH5" s="44">
        <v>0</v>
      </c>
      <c r="CI5" s="44">
        <v>0</v>
      </c>
      <c r="CJ5" s="44">
        <v>0</v>
      </c>
      <c r="CK5" s="44">
        <v>0</v>
      </c>
    </row>
    <row r="6" spans="4:89" x14ac:dyDescent="0.25">
      <c r="D6" s="4">
        <v>0</v>
      </c>
      <c r="E6" s="4">
        <v>0</v>
      </c>
      <c r="F6" s="4">
        <v>103</v>
      </c>
      <c r="G6" s="4">
        <v>2</v>
      </c>
      <c r="I6" s="5">
        <v>0</v>
      </c>
      <c r="J6" s="5">
        <v>0</v>
      </c>
      <c r="K6" s="5">
        <v>119</v>
      </c>
      <c r="L6" s="5">
        <v>2</v>
      </c>
      <c r="N6" s="6">
        <v>0</v>
      </c>
      <c r="O6" s="6">
        <v>0</v>
      </c>
      <c r="P6" s="6">
        <v>100</v>
      </c>
      <c r="Q6" s="6">
        <v>1</v>
      </c>
      <c r="U6" s="12">
        <v>106</v>
      </c>
      <c r="V6" s="13">
        <v>5</v>
      </c>
      <c r="W6" s="14">
        <v>0</v>
      </c>
      <c r="Y6" s="44">
        <v>0</v>
      </c>
      <c r="Z6" s="44">
        <v>0</v>
      </c>
      <c r="AA6" s="44">
        <v>0</v>
      </c>
      <c r="AC6" s="44" t="s">
        <v>12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44">
        <v>0</v>
      </c>
      <c r="AJ6" s="44">
        <v>0</v>
      </c>
      <c r="AK6" s="44">
        <v>0</v>
      </c>
      <c r="AL6" s="44">
        <v>0</v>
      </c>
      <c r="AM6" s="44">
        <v>0</v>
      </c>
      <c r="AN6" s="44">
        <v>0</v>
      </c>
      <c r="AO6" s="44">
        <v>0</v>
      </c>
      <c r="AP6" s="44">
        <v>0</v>
      </c>
      <c r="AQ6" s="44">
        <v>0</v>
      </c>
      <c r="AR6" s="44">
        <v>0</v>
      </c>
      <c r="AS6" s="44">
        <v>0</v>
      </c>
      <c r="AT6" s="44">
        <v>0</v>
      </c>
      <c r="AU6" s="44">
        <v>0</v>
      </c>
      <c r="AV6" s="44">
        <v>0</v>
      </c>
      <c r="AW6" s="44">
        <v>0</v>
      </c>
      <c r="AX6" s="44">
        <v>0</v>
      </c>
      <c r="AY6" s="44">
        <v>0</v>
      </c>
      <c r="AZ6" s="44">
        <v>0</v>
      </c>
      <c r="BA6" s="44">
        <v>0</v>
      </c>
      <c r="BB6" s="44">
        <v>0</v>
      </c>
      <c r="BC6" s="44">
        <v>0</v>
      </c>
      <c r="BD6" s="44">
        <v>0</v>
      </c>
      <c r="BE6" s="44">
        <v>0</v>
      </c>
      <c r="BF6" s="44">
        <v>0</v>
      </c>
      <c r="BG6" s="44">
        <v>0</v>
      </c>
      <c r="BH6" s="44">
        <v>0</v>
      </c>
      <c r="BI6" s="44">
        <v>0</v>
      </c>
      <c r="BJ6" s="44">
        <v>0</v>
      </c>
      <c r="BK6" s="44">
        <v>0</v>
      </c>
      <c r="BL6" s="44">
        <v>4</v>
      </c>
      <c r="BM6" s="44">
        <v>0</v>
      </c>
      <c r="BN6" s="44">
        <v>0</v>
      </c>
      <c r="BO6" s="44">
        <v>1</v>
      </c>
      <c r="BP6" s="44">
        <v>1</v>
      </c>
      <c r="BQ6" s="44">
        <v>4</v>
      </c>
      <c r="BR6" s="44">
        <v>0</v>
      </c>
      <c r="BS6" s="44">
        <v>2</v>
      </c>
      <c r="BT6" s="44">
        <v>0</v>
      </c>
      <c r="BU6" s="44">
        <v>0</v>
      </c>
      <c r="BV6" s="44">
        <v>2</v>
      </c>
      <c r="BW6" s="44">
        <v>1</v>
      </c>
      <c r="BX6" s="44">
        <v>0</v>
      </c>
      <c r="BY6" s="44">
        <v>0</v>
      </c>
      <c r="BZ6" s="44">
        <v>0</v>
      </c>
      <c r="CA6" s="44">
        <v>0</v>
      </c>
      <c r="CB6" s="44">
        <v>1</v>
      </c>
      <c r="CC6" s="44">
        <v>1</v>
      </c>
      <c r="CD6" s="44">
        <v>2</v>
      </c>
      <c r="CE6" s="44">
        <v>0</v>
      </c>
      <c r="CF6" s="44">
        <v>3</v>
      </c>
      <c r="CG6" s="44">
        <v>2</v>
      </c>
      <c r="CH6" s="44">
        <v>3</v>
      </c>
      <c r="CI6" s="44">
        <v>4</v>
      </c>
      <c r="CJ6" s="44">
        <v>2</v>
      </c>
      <c r="CK6" s="44">
        <v>3</v>
      </c>
    </row>
    <row r="7" spans="4:89" x14ac:dyDescent="0.25">
      <c r="D7" s="4">
        <v>106</v>
      </c>
      <c r="E7" s="4">
        <v>5</v>
      </c>
      <c r="F7" s="4">
        <v>0</v>
      </c>
      <c r="G7" s="4">
        <v>0</v>
      </c>
      <c r="I7" s="5">
        <v>101</v>
      </c>
      <c r="J7" s="5">
        <v>1</v>
      </c>
      <c r="K7" s="5">
        <v>0</v>
      </c>
      <c r="L7" s="5">
        <v>0</v>
      </c>
      <c r="N7" s="6">
        <v>92</v>
      </c>
      <c r="O7" s="6">
        <v>4</v>
      </c>
      <c r="P7" s="6">
        <v>0</v>
      </c>
      <c r="Q7" s="6">
        <v>0</v>
      </c>
      <c r="U7" s="12">
        <v>85</v>
      </c>
      <c r="V7" s="13">
        <v>1</v>
      </c>
      <c r="W7" s="14">
        <v>0</v>
      </c>
      <c r="Y7" s="44">
        <v>0</v>
      </c>
      <c r="Z7" s="44">
        <v>0</v>
      </c>
      <c r="AA7" s="44">
        <v>0</v>
      </c>
      <c r="AI7" s="13"/>
      <c r="AJ7" s="13"/>
    </row>
    <row r="8" spans="4:89" x14ac:dyDescent="0.25">
      <c r="D8" s="4">
        <v>85</v>
      </c>
      <c r="E8" s="4">
        <v>1</v>
      </c>
      <c r="F8" s="4">
        <v>101</v>
      </c>
      <c r="G8" s="4">
        <v>2</v>
      </c>
      <c r="I8" s="5">
        <v>88</v>
      </c>
      <c r="J8" s="5">
        <v>3</v>
      </c>
      <c r="K8" s="5">
        <v>120</v>
      </c>
      <c r="L8" s="5">
        <v>3</v>
      </c>
      <c r="N8" s="6">
        <v>92</v>
      </c>
      <c r="O8" s="6">
        <v>5</v>
      </c>
      <c r="P8" s="6">
        <v>0</v>
      </c>
      <c r="Q8" s="6">
        <v>0</v>
      </c>
      <c r="U8" s="12">
        <v>91</v>
      </c>
      <c r="V8" s="13">
        <v>5</v>
      </c>
      <c r="W8" s="14">
        <v>0</v>
      </c>
      <c r="Y8" s="44">
        <v>0</v>
      </c>
      <c r="Z8" s="44">
        <v>0</v>
      </c>
      <c r="AA8" s="44">
        <v>0</v>
      </c>
      <c r="AC8" s="45" t="s">
        <v>19</v>
      </c>
      <c r="AH8" s="1"/>
      <c r="AI8" s="1"/>
      <c r="AJ8" s="1"/>
      <c r="AK8" s="1"/>
      <c r="AL8" s="1"/>
    </row>
    <row r="9" spans="4:89" x14ac:dyDescent="0.25">
      <c r="D9" s="4">
        <v>91</v>
      </c>
      <c r="E9" s="4">
        <v>5</v>
      </c>
      <c r="F9" s="4">
        <v>108</v>
      </c>
      <c r="G9" s="4">
        <v>2</v>
      </c>
      <c r="I9" s="5">
        <v>103</v>
      </c>
      <c r="J9" s="5">
        <v>1</v>
      </c>
      <c r="K9" s="5">
        <v>97</v>
      </c>
      <c r="L9" s="5">
        <v>4</v>
      </c>
      <c r="N9" s="6">
        <v>98</v>
      </c>
      <c r="O9" s="6">
        <v>5</v>
      </c>
      <c r="P9" s="6">
        <v>0</v>
      </c>
      <c r="Q9" s="6">
        <v>0</v>
      </c>
      <c r="U9" s="12">
        <v>85</v>
      </c>
      <c r="V9" s="13">
        <v>2</v>
      </c>
      <c r="W9" s="14">
        <v>0</v>
      </c>
      <c r="Y9" s="44">
        <v>0</v>
      </c>
      <c r="Z9" s="44">
        <v>0</v>
      </c>
      <c r="AA9" s="44">
        <v>0</v>
      </c>
      <c r="AC9" s="7" t="s">
        <v>16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S9" s="44">
        <v>0</v>
      </c>
      <c r="AT9" s="44">
        <v>0</v>
      </c>
      <c r="AU9" s="44">
        <v>0</v>
      </c>
      <c r="AV9" s="44">
        <v>0</v>
      </c>
      <c r="AW9" s="44">
        <v>0</v>
      </c>
      <c r="AX9" s="44">
        <v>0</v>
      </c>
      <c r="AY9" s="44">
        <v>0</v>
      </c>
      <c r="AZ9" s="44">
        <v>0</v>
      </c>
      <c r="BA9" s="44">
        <v>85</v>
      </c>
      <c r="BB9" s="44">
        <v>85</v>
      </c>
      <c r="BC9" s="44">
        <v>86</v>
      </c>
      <c r="BD9" s="44">
        <v>88</v>
      </c>
      <c r="BE9" s="44">
        <v>91</v>
      </c>
      <c r="BF9" s="44">
        <v>92</v>
      </c>
      <c r="BG9" s="44">
        <v>92</v>
      </c>
      <c r="BH9" s="44">
        <v>93</v>
      </c>
      <c r="BI9" s="44">
        <v>93</v>
      </c>
      <c r="BJ9" s="44">
        <v>96</v>
      </c>
      <c r="BK9" s="44">
        <v>96</v>
      </c>
      <c r="BL9" s="44">
        <v>97</v>
      </c>
      <c r="BM9" s="44">
        <v>98</v>
      </c>
      <c r="BN9" s="44">
        <v>98</v>
      </c>
      <c r="BO9" s="44">
        <v>98</v>
      </c>
      <c r="BP9" s="44">
        <v>100</v>
      </c>
      <c r="BQ9" s="44">
        <v>100</v>
      </c>
      <c r="BR9" s="44">
        <v>101</v>
      </c>
      <c r="BS9" s="44">
        <v>101</v>
      </c>
      <c r="BT9" s="44">
        <v>103</v>
      </c>
      <c r="BU9" s="44">
        <v>103</v>
      </c>
      <c r="BV9" s="44">
        <v>103</v>
      </c>
      <c r="BW9" s="44">
        <v>103</v>
      </c>
      <c r="BX9" s="44">
        <v>104</v>
      </c>
      <c r="BY9" s="44">
        <v>106</v>
      </c>
      <c r="BZ9" s="44">
        <v>106</v>
      </c>
      <c r="CA9" s="44">
        <v>106</v>
      </c>
      <c r="CB9" s="44">
        <v>106</v>
      </c>
      <c r="CC9" s="44">
        <v>107</v>
      </c>
      <c r="CD9" s="44">
        <v>108</v>
      </c>
      <c r="CE9" s="44">
        <v>109</v>
      </c>
      <c r="CF9" s="44">
        <v>109</v>
      </c>
      <c r="CG9" s="44">
        <v>112</v>
      </c>
      <c r="CH9" s="44">
        <v>116</v>
      </c>
      <c r="CI9" s="44">
        <v>117</v>
      </c>
      <c r="CJ9" s="44">
        <v>119</v>
      </c>
      <c r="CK9" s="44">
        <v>120</v>
      </c>
    </row>
    <row r="10" spans="4:89" x14ac:dyDescent="0.25">
      <c r="D10" s="4">
        <v>85</v>
      </c>
      <c r="E10" s="4">
        <v>2</v>
      </c>
      <c r="F10" s="4">
        <v>117</v>
      </c>
      <c r="G10" s="4">
        <v>4</v>
      </c>
      <c r="I10" s="5">
        <v>0</v>
      </c>
      <c r="J10" s="5">
        <v>0</v>
      </c>
      <c r="K10" s="5">
        <v>0</v>
      </c>
      <c r="L10" s="5">
        <v>0</v>
      </c>
      <c r="N10" s="6">
        <v>93</v>
      </c>
      <c r="O10" s="6">
        <v>2</v>
      </c>
      <c r="P10" s="6">
        <v>116</v>
      </c>
      <c r="Q10" s="6">
        <v>3</v>
      </c>
      <c r="U10" s="12">
        <v>109</v>
      </c>
      <c r="V10" s="13">
        <v>3</v>
      </c>
      <c r="W10" s="14">
        <v>0</v>
      </c>
      <c r="Y10" s="44">
        <v>0</v>
      </c>
      <c r="Z10" s="44">
        <v>0</v>
      </c>
      <c r="AA10" s="44">
        <v>0</v>
      </c>
      <c r="AC10" s="1" t="s">
        <v>17</v>
      </c>
      <c r="AD10" s="1">
        <f>AD6</f>
        <v>0</v>
      </c>
      <c r="AE10" s="1">
        <f>AE6+AD10</f>
        <v>0</v>
      </c>
      <c r="AF10" s="1">
        <f t="shared" ref="AF10:CK10" si="0">AF6+AE10</f>
        <v>0</v>
      </c>
      <c r="AG10" s="1">
        <f t="shared" si="0"/>
        <v>0</v>
      </c>
      <c r="AH10" s="1">
        <f t="shared" si="0"/>
        <v>0</v>
      </c>
      <c r="AI10" s="1">
        <f t="shared" si="0"/>
        <v>0</v>
      </c>
      <c r="AJ10" s="1">
        <f t="shared" si="0"/>
        <v>0</v>
      </c>
      <c r="AK10" s="1">
        <f t="shared" si="0"/>
        <v>0</v>
      </c>
      <c r="AL10" s="1">
        <f t="shared" si="0"/>
        <v>0</v>
      </c>
      <c r="AM10" s="1">
        <f t="shared" si="0"/>
        <v>0</v>
      </c>
      <c r="AN10" s="1">
        <f t="shared" si="0"/>
        <v>0</v>
      </c>
      <c r="AO10" s="1">
        <f t="shared" si="0"/>
        <v>0</v>
      </c>
      <c r="AP10" s="1">
        <f t="shared" si="0"/>
        <v>0</v>
      </c>
      <c r="AQ10" s="1">
        <f t="shared" si="0"/>
        <v>0</v>
      </c>
      <c r="AR10" s="1">
        <f t="shared" si="0"/>
        <v>0</v>
      </c>
      <c r="AS10" s="1">
        <f t="shared" si="0"/>
        <v>0</v>
      </c>
      <c r="AT10" s="1">
        <f t="shared" si="0"/>
        <v>0</v>
      </c>
      <c r="AU10" s="1">
        <f t="shared" si="0"/>
        <v>0</v>
      </c>
      <c r="AV10" s="1">
        <f t="shared" si="0"/>
        <v>0</v>
      </c>
      <c r="AW10" s="1">
        <f t="shared" si="0"/>
        <v>0</v>
      </c>
      <c r="AX10" s="1">
        <f t="shared" si="0"/>
        <v>0</v>
      </c>
      <c r="AY10" s="1">
        <f t="shared" si="0"/>
        <v>0</v>
      </c>
      <c r="AZ10" s="1">
        <f t="shared" si="0"/>
        <v>0</v>
      </c>
      <c r="BA10" s="1">
        <f t="shared" si="0"/>
        <v>0</v>
      </c>
      <c r="BB10" s="1">
        <f t="shared" si="0"/>
        <v>0</v>
      </c>
      <c r="BC10" s="1">
        <f t="shared" si="0"/>
        <v>0</v>
      </c>
      <c r="BD10" s="1">
        <f t="shared" si="0"/>
        <v>0</v>
      </c>
      <c r="BE10" s="1">
        <f t="shared" si="0"/>
        <v>0</v>
      </c>
      <c r="BF10" s="1">
        <f t="shared" si="0"/>
        <v>0</v>
      </c>
      <c r="BG10" s="1">
        <f t="shared" si="0"/>
        <v>0</v>
      </c>
      <c r="BH10" s="1">
        <f t="shared" si="0"/>
        <v>0</v>
      </c>
      <c r="BI10" s="1">
        <f t="shared" si="0"/>
        <v>0</v>
      </c>
      <c r="BJ10" s="1">
        <f t="shared" si="0"/>
        <v>0</v>
      </c>
      <c r="BK10" s="1">
        <f t="shared" si="0"/>
        <v>0</v>
      </c>
      <c r="BL10" s="1">
        <f t="shared" si="0"/>
        <v>4</v>
      </c>
      <c r="BM10" s="1">
        <f t="shared" si="0"/>
        <v>4</v>
      </c>
      <c r="BN10" s="1">
        <f t="shared" si="0"/>
        <v>4</v>
      </c>
      <c r="BO10" s="1">
        <f t="shared" si="0"/>
        <v>5</v>
      </c>
      <c r="BP10" s="1">
        <f t="shared" si="0"/>
        <v>6</v>
      </c>
      <c r="BQ10" s="1">
        <f t="shared" si="0"/>
        <v>10</v>
      </c>
      <c r="BR10" s="1">
        <f t="shared" si="0"/>
        <v>10</v>
      </c>
      <c r="BS10" s="1">
        <f t="shared" si="0"/>
        <v>12</v>
      </c>
      <c r="BT10" s="1">
        <f t="shared" si="0"/>
        <v>12</v>
      </c>
      <c r="BU10" s="1">
        <f t="shared" si="0"/>
        <v>12</v>
      </c>
      <c r="BV10" s="1">
        <f t="shared" si="0"/>
        <v>14</v>
      </c>
      <c r="BW10" s="1">
        <f t="shared" si="0"/>
        <v>15</v>
      </c>
      <c r="BX10" s="1">
        <f t="shared" si="0"/>
        <v>15</v>
      </c>
      <c r="BY10" s="1">
        <f t="shared" si="0"/>
        <v>15</v>
      </c>
      <c r="BZ10" s="1">
        <f t="shared" si="0"/>
        <v>15</v>
      </c>
      <c r="CA10" s="1">
        <f t="shared" si="0"/>
        <v>15</v>
      </c>
      <c r="CB10" s="1">
        <f t="shared" si="0"/>
        <v>16</v>
      </c>
      <c r="CC10" s="1">
        <f t="shared" si="0"/>
        <v>17</v>
      </c>
      <c r="CD10" s="1">
        <f t="shared" si="0"/>
        <v>19</v>
      </c>
      <c r="CE10" s="1">
        <f t="shared" si="0"/>
        <v>19</v>
      </c>
      <c r="CF10" s="1">
        <f t="shared" si="0"/>
        <v>22</v>
      </c>
      <c r="CG10" s="1">
        <f t="shared" si="0"/>
        <v>24</v>
      </c>
      <c r="CH10" s="1">
        <f t="shared" si="0"/>
        <v>27</v>
      </c>
      <c r="CI10" s="1">
        <f t="shared" si="0"/>
        <v>31</v>
      </c>
      <c r="CJ10" s="1">
        <f t="shared" si="0"/>
        <v>33</v>
      </c>
      <c r="CK10" s="1">
        <f t="shared" si="0"/>
        <v>36</v>
      </c>
    </row>
    <row r="11" spans="4:89" x14ac:dyDescent="0.25">
      <c r="D11" s="4">
        <v>109</v>
      </c>
      <c r="E11" s="4">
        <v>3</v>
      </c>
      <c r="F11" s="4">
        <v>98</v>
      </c>
      <c r="G11" s="4">
        <v>1</v>
      </c>
      <c r="I11" s="5">
        <v>106</v>
      </c>
      <c r="J11" s="5">
        <v>4</v>
      </c>
      <c r="K11" s="5">
        <v>112</v>
      </c>
      <c r="L11" s="5">
        <v>2</v>
      </c>
      <c r="N11" s="6">
        <v>106</v>
      </c>
      <c r="O11" s="6">
        <v>3</v>
      </c>
      <c r="P11" s="6">
        <v>109</v>
      </c>
      <c r="Q11" s="6">
        <v>3</v>
      </c>
      <c r="U11" s="12">
        <v>96</v>
      </c>
      <c r="V11" s="13">
        <v>5</v>
      </c>
      <c r="W11" s="14">
        <v>0</v>
      </c>
      <c r="Y11" s="44">
        <v>0</v>
      </c>
      <c r="Z11" s="44">
        <v>0</v>
      </c>
      <c r="AA11" s="44">
        <v>0</v>
      </c>
      <c r="AI11" s="13"/>
      <c r="AJ11" s="13"/>
    </row>
    <row r="12" spans="4:89" x14ac:dyDescent="0.25">
      <c r="D12" s="4">
        <v>96</v>
      </c>
      <c r="E12" s="4">
        <v>5</v>
      </c>
      <c r="F12" s="4">
        <v>103</v>
      </c>
      <c r="G12" s="4">
        <v>1</v>
      </c>
      <c r="I12" s="5">
        <v>98</v>
      </c>
      <c r="J12" s="5">
        <v>2</v>
      </c>
      <c r="K12" s="5">
        <v>0</v>
      </c>
      <c r="L12" s="5">
        <v>0</v>
      </c>
      <c r="N12" s="6">
        <v>0</v>
      </c>
      <c r="O12" s="6">
        <v>0</v>
      </c>
      <c r="P12" s="6">
        <v>0</v>
      </c>
      <c r="Q12" s="6">
        <v>0</v>
      </c>
      <c r="U12" s="12">
        <v>0</v>
      </c>
      <c r="V12" s="13">
        <v>0</v>
      </c>
      <c r="W12" s="14">
        <v>0</v>
      </c>
      <c r="Y12" s="44">
        <v>0</v>
      </c>
      <c r="Z12" s="44">
        <v>0</v>
      </c>
      <c r="AA12" s="44">
        <v>0</v>
      </c>
      <c r="AC12" s="45" t="s">
        <v>20</v>
      </c>
      <c r="AI12" s="13"/>
      <c r="AJ12" s="13"/>
    </row>
    <row r="13" spans="4:89" x14ac:dyDescent="0.25">
      <c r="D13" s="4">
        <v>0</v>
      </c>
      <c r="E13" s="4">
        <v>0</v>
      </c>
      <c r="F13" s="4">
        <v>107</v>
      </c>
      <c r="G13" s="4">
        <v>1</v>
      </c>
      <c r="I13" s="5">
        <v>0</v>
      </c>
      <c r="J13" s="5">
        <v>0</v>
      </c>
      <c r="K13" s="5">
        <v>0</v>
      </c>
      <c r="L13" s="5">
        <v>0</v>
      </c>
      <c r="N13" s="6">
        <v>103</v>
      </c>
      <c r="O13" s="6">
        <v>1</v>
      </c>
      <c r="P13" s="6">
        <v>0</v>
      </c>
      <c r="Q13" s="6">
        <v>0</v>
      </c>
      <c r="U13" s="12">
        <v>104</v>
      </c>
      <c r="V13" s="13">
        <v>3</v>
      </c>
      <c r="W13" s="14">
        <v>0</v>
      </c>
      <c r="Y13" s="44">
        <v>0</v>
      </c>
      <c r="Z13" s="44">
        <v>0</v>
      </c>
      <c r="AA13" s="44">
        <v>0</v>
      </c>
      <c r="AC13" s="7" t="s">
        <v>16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0</v>
      </c>
      <c r="AX13" s="44">
        <v>0</v>
      </c>
      <c r="AY13" s="44">
        <v>0</v>
      </c>
      <c r="AZ13" s="44">
        <v>0</v>
      </c>
      <c r="BA13" s="44">
        <v>85</v>
      </c>
      <c r="BB13" s="44">
        <v>85</v>
      </c>
      <c r="BC13" s="44">
        <v>86</v>
      </c>
      <c r="BD13" s="44">
        <v>88</v>
      </c>
      <c r="BE13" s="44">
        <v>91</v>
      </c>
      <c r="BF13" s="44">
        <v>92</v>
      </c>
      <c r="BG13" s="44">
        <v>92</v>
      </c>
      <c r="BH13" s="44">
        <v>93</v>
      </c>
      <c r="BI13" s="44">
        <v>93</v>
      </c>
      <c r="BJ13" s="44">
        <v>96</v>
      </c>
      <c r="BK13" s="44">
        <v>96</v>
      </c>
      <c r="BL13" s="44">
        <v>97</v>
      </c>
      <c r="BM13" s="44">
        <v>98</v>
      </c>
      <c r="BN13" s="44">
        <v>98</v>
      </c>
      <c r="BO13" s="44">
        <v>98</v>
      </c>
      <c r="BP13" s="44">
        <v>100</v>
      </c>
      <c r="BQ13" s="44">
        <v>100</v>
      </c>
      <c r="BR13" s="44">
        <v>101</v>
      </c>
      <c r="BS13" s="44">
        <v>101</v>
      </c>
      <c r="BT13" s="44">
        <v>103</v>
      </c>
      <c r="BU13" s="44">
        <v>103</v>
      </c>
      <c r="BV13" s="44">
        <v>103</v>
      </c>
      <c r="BW13" s="44">
        <v>103</v>
      </c>
      <c r="BX13" s="44">
        <v>104</v>
      </c>
      <c r="BY13" s="44">
        <v>106</v>
      </c>
      <c r="BZ13" s="44">
        <v>106</v>
      </c>
      <c r="CA13" s="44">
        <v>106</v>
      </c>
      <c r="CB13" s="44">
        <v>106</v>
      </c>
      <c r="CC13" s="44">
        <v>107</v>
      </c>
      <c r="CD13" s="44">
        <v>108</v>
      </c>
      <c r="CE13" s="44">
        <v>109</v>
      </c>
      <c r="CF13" s="44">
        <v>109</v>
      </c>
      <c r="CG13" s="44">
        <v>112</v>
      </c>
      <c r="CH13" s="44">
        <v>116</v>
      </c>
      <c r="CI13" s="44">
        <v>117</v>
      </c>
      <c r="CJ13" s="44">
        <v>119</v>
      </c>
      <c r="CK13" s="44">
        <v>120</v>
      </c>
    </row>
    <row r="14" spans="4:89" x14ac:dyDescent="0.25">
      <c r="D14" s="4">
        <v>104</v>
      </c>
      <c r="E14" s="4">
        <v>3</v>
      </c>
      <c r="F14" s="4">
        <v>0</v>
      </c>
      <c r="G14" s="4">
        <v>0</v>
      </c>
      <c r="I14" s="5">
        <v>0</v>
      </c>
      <c r="J14" s="5">
        <v>0</v>
      </c>
      <c r="K14" s="5">
        <v>0</v>
      </c>
      <c r="L14" s="5">
        <v>0</v>
      </c>
      <c r="N14" s="6">
        <v>93</v>
      </c>
      <c r="O14" s="6">
        <v>2</v>
      </c>
      <c r="P14" s="6">
        <v>106</v>
      </c>
      <c r="Q14" s="6">
        <v>1</v>
      </c>
      <c r="U14" s="15">
        <v>86</v>
      </c>
      <c r="V14" s="16">
        <v>2</v>
      </c>
      <c r="W14" s="17">
        <v>0</v>
      </c>
      <c r="Y14" s="44">
        <v>0</v>
      </c>
      <c r="Z14" s="44">
        <v>0</v>
      </c>
      <c r="AA14" s="44">
        <v>0</v>
      </c>
      <c r="AC14" s="1" t="s">
        <v>18</v>
      </c>
      <c r="AD14" s="1">
        <f t="shared" ref="AD14:CI14" si="1">AE14+AD5</f>
        <v>63</v>
      </c>
      <c r="AE14" s="1">
        <f t="shared" si="1"/>
        <v>63</v>
      </c>
      <c r="AF14" s="1">
        <f t="shared" si="1"/>
        <v>63</v>
      </c>
      <c r="AG14" s="1">
        <f t="shared" si="1"/>
        <v>63</v>
      </c>
      <c r="AH14" s="1">
        <f t="shared" si="1"/>
        <v>63</v>
      </c>
      <c r="AI14" s="1">
        <f t="shared" si="1"/>
        <v>63</v>
      </c>
      <c r="AJ14" s="1">
        <f t="shared" si="1"/>
        <v>63</v>
      </c>
      <c r="AK14" s="1">
        <f t="shared" si="1"/>
        <v>63</v>
      </c>
      <c r="AL14" s="1">
        <f t="shared" si="1"/>
        <v>63</v>
      </c>
      <c r="AM14" s="1">
        <f t="shared" si="1"/>
        <v>63</v>
      </c>
      <c r="AN14" s="1">
        <f t="shared" si="1"/>
        <v>63</v>
      </c>
      <c r="AO14" s="1">
        <f t="shared" si="1"/>
        <v>63</v>
      </c>
      <c r="AP14" s="1">
        <f t="shared" si="1"/>
        <v>63</v>
      </c>
      <c r="AQ14" s="1">
        <f t="shared" si="1"/>
        <v>63</v>
      </c>
      <c r="AR14" s="1">
        <f t="shared" si="1"/>
        <v>63</v>
      </c>
      <c r="AS14" s="1">
        <f t="shared" si="1"/>
        <v>63</v>
      </c>
      <c r="AT14" s="1">
        <f t="shared" si="1"/>
        <v>63</v>
      </c>
      <c r="AU14" s="1">
        <f t="shared" si="1"/>
        <v>63</v>
      </c>
      <c r="AV14" s="1">
        <f t="shared" si="1"/>
        <v>63</v>
      </c>
      <c r="AW14" s="1">
        <f t="shared" si="1"/>
        <v>63</v>
      </c>
      <c r="AX14" s="1">
        <f t="shared" si="1"/>
        <v>63</v>
      </c>
      <c r="AY14" s="1">
        <f t="shared" si="1"/>
        <v>63</v>
      </c>
      <c r="AZ14" s="1">
        <f t="shared" si="1"/>
        <v>63</v>
      </c>
      <c r="BA14" s="1">
        <f t="shared" si="1"/>
        <v>63</v>
      </c>
      <c r="BB14" s="1">
        <f t="shared" si="1"/>
        <v>62</v>
      </c>
      <c r="BC14" s="1">
        <f t="shared" si="1"/>
        <v>60</v>
      </c>
      <c r="BD14" s="1">
        <f t="shared" si="1"/>
        <v>58</v>
      </c>
      <c r="BE14" s="1">
        <f t="shared" si="1"/>
        <v>55</v>
      </c>
      <c r="BF14" s="1">
        <f t="shared" si="1"/>
        <v>50</v>
      </c>
      <c r="BG14" s="1">
        <f t="shared" si="1"/>
        <v>46</v>
      </c>
      <c r="BH14" s="1">
        <f t="shared" si="1"/>
        <v>41</v>
      </c>
      <c r="BI14" s="1">
        <f t="shared" si="1"/>
        <v>39</v>
      </c>
      <c r="BJ14" s="1">
        <f t="shared" si="1"/>
        <v>37</v>
      </c>
      <c r="BK14" s="1">
        <f t="shared" si="1"/>
        <v>32</v>
      </c>
      <c r="BL14" s="1">
        <f t="shared" si="1"/>
        <v>28</v>
      </c>
      <c r="BM14" s="1">
        <f t="shared" si="1"/>
        <v>28</v>
      </c>
      <c r="BN14" s="1">
        <f t="shared" si="1"/>
        <v>26</v>
      </c>
      <c r="BO14" s="1">
        <f t="shared" si="1"/>
        <v>21</v>
      </c>
      <c r="BP14" s="1">
        <f t="shared" si="1"/>
        <v>21</v>
      </c>
      <c r="BQ14" s="1">
        <f t="shared" si="1"/>
        <v>21</v>
      </c>
      <c r="BR14" s="1">
        <f t="shared" si="1"/>
        <v>21</v>
      </c>
      <c r="BS14" s="1">
        <f t="shared" si="1"/>
        <v>20</v>
      </c>
      <c r="BT14" s="1">
        <f t="shared" si="1"/>
        <v>20</v>
      </c>
      <c r="BU14" s="1">
        <f t="shared" si="1"/>
        <v>19</v>
      </c>
      <c r="BV14" s="1">
        <f t="shared" si="1"/>
        <v>18</v>
      </c>
      <c r="BW14" s="1">
        <f t="shared" si="1"/>
        <v>18</v>
      </c>
      <c r="BX14" s="1">
        <f t="shared" si="1"/>
        <v>18</v>
      </c>
      <c r="BY14" s="1">
        <f t="shared" si="1"/>
        <v>15</v>
      </c>
      <c r="BZ14" s="1">
        <f t="shared" si="1"/>
        <v>10</v>
      </c>
      <c r="CA14" s="1">
        <f t="shared" si="1"/>
        <v>6</v>
      </c>
      <c r="CB14" s="1">
        <f t="shared" si="1"/>
        <v>3</v>
      </c>
      <c r="CC14" s="1">
        <f t="shared" si="1"/>
        <v>3</v>
      </c>
      <c r="CD14" s="1">
        <f t="shared" si="1"/>
        <v>3</v>
      </c>
      <c r="CE14" s="1">
        <f t="shared" si="1"/>
        <v>3</v>
      </c>
      <c r="CF14" s="1">
        <f t="shared" si="1"/>
        <v>0</v>
      </c>
      <c r="CG14" s="1">
        <f t="shared" si="1"/>
        <v>0</v>
      </c>
      <c r="CH14" s="1">
        <f t="shared" si="1"/>
        <v>0</v>
      </c>
      <c r="CI14" s="1">
        <f t="shared" si="1"/>
        <v>0</v>
      </c>
      <c r="CJ14" s="1">
        <f>CK14+CJ5</f>
        <v>0</v>
      </c>
      <c r="CK14" s="1">
        <f>CK5</f>
        <v>0</v>
      </c>
    </row>
    <row r="15" spans="4:89" x14ac:dyDescent="0.25">
      <c r="D15" s="4">
        <v>86</v>
      </c>
      <c r="E15" s="4">
        <v>2</v>
      </c>
      <c r="F15" s="4">
        <v>0</v>
      </c>
      <c r="G15" s="4">
        <v>0</v>
      </c>
      <c r="I15" s="5">
        <v>96</v>
      </c>
      <c r="J15" s="5">
        <v>4</v>
      </c>
      <c r="K15" s="5">
        <v>0</v>
      </c>
      <c r="L15" s="5">
        <v>0</v>
      </c>
      <c r="N15" s="6">
        <v>0</v>
      </c>
      <c r="O15" s="6">
        <v>0</v>
      </c>
      <c r="P15" s="6">
        <v>100</v>
      </c>
      <c r="Q15" s="6">
        <v>4</v>
      </c>
      <c r="U15" s="18">
        <v>0</v>
      </c>
      <c r="V15" s="19">
        <v>0</v>
      </c>
      <c r="W15" s="11">
        <v>0</v>
      </c>
      <c r="Y15" s="44">
        <v>0</v>
      </c>
      <c r="Z15" s="44">
        <v>0</v>
      </c>
      <c r="AA15" s="44">
        <v>0</v>
      </c>
      <c r="AI15" s="13"/>
      <c r="AJ15" s="13"/>
    </row>
    <row r="16" spans="4:89" x14ac:dyDescent="0.25">
      <c r="D16" s="4"/>
      <c r="E16" s="4"/>
      <c r="F16" s="4"/>
      <c r="G16" s="4"/>
      <c r="I16" s="5"/>
      <c r="J16" s="5"/>
      <c r="K16" s="5"/>
      <c r="L16" s="5"/>
      <c r="N16" s="6"/>
      <c r="O16" s="6"/>
      <c r="P16" s="6"/>
      <c r="Q16" s="6"/>
      <c r="U16" s="20">
        <v>101</v>
      </c>
      <c r="V16" s="21">
        <v>1</v>
      </c>
      <c r="W16" s="14">
        <v>0</v>
      </c>
      <c r="Y16" s="44">
        <v>0</v>
      </c>
      <c r="Z16" s="44">
        <v>0</v>
      </c>
      <c r="AA16" s="44">
        <v>0</v>
      </c>
      <c r="AI16" s="21"/>
      <c r="AJ16" s="21"/>
    </row>
    <row r="17" spans="4:36" x14ac:dyDescent="0.25">
      <c r="D17" s="4" t="s">
        <v>9</v>
      </c>
      <c r="E17" s="4" t="s">
        <v>10</v>
      </c>
      <c r="F17" s="4" t="s">
        <v>11</v>
      </c>
      <c r="G17" s="4" t="s">
        <v>12</v>
      </c>
      <c r="I17" s="5" t="s">
        <v>9</v>
      </c>
      <c r="J17" s="5" t="s">
        <v>10</v>
      </c>
      <c r="K17" s="5" t="s">
        <v>11</v>
      </c>
      <c r="L17" s="5" t="s">
        <v>12</v>
      </c>
      <c r="N17" s="6" t="s">
        <v>9</v>
      </c>
      <c r="O17" s="6" t="s">
        <v>10</v>
      </c>
      <c r="P17" s="6" t="s">
        <v>11</v>
      </c>
      <c r="Q17" s="6" t="s">
        <v>12</v>
      </c>
      <c r="U17" s="20">
        <v>88</v>
      </c>
      <c r="V17" s="21">
        <v>3</v>
      </c>
      <c r="W17" s="14">
        <v>0</v>
      </c>
      <c r="Y17" s="44">
        <v>0</v>
      </c>
      <c r="Z17" s="44">
        <v>0</v>
      </c>
      <c r="AA17" s="44">
        <v>0</v>
      </c>
      <c r="AI17" s="21"/>
      <c r="AJ17" s="21"/>
    </row>
    <row r="18" spans="4:36" x14ac:dyDescent="0.25">
      <c r="D18" s="4">
        <v>0</v>
      </c>
      <c r="E18" s="4">
        <v>0</v>
      </c>
      <c r="F18" s="4">
        <v>0</v>
      </c>
      <c r="G18" s="4">
        <v>0</v>
      </c>
      <c r="I18" s="5">
        <v>0</v>
      </c>
      <c r="J18" s="5">
        <v>0</v>
      </c>
      <c r="K18" s="5">
        <v>202</v>
      </c>
      <c r="L18" s="5">
        <v>2</v>
      </c>
      <c r="N18" s="6">
        <v>0</v>
      </c>
      <c r="O18" s="6">
        <v>0</v>
      </c>
      <c r="P18" s="6">
        <v>0</v>
      </c>
      <c r="Q18" s="6">
        <v>0</v>
      </c>
      <c r="U18" s="20">
        <v>103</v>
      </c>
      <c r="V18" s="21">
        <v>1</v>
      </c>
      <c r="W18" s="14">
        <v>0</v>
      </c>
      <c r="Y18" s="44">
        <v>0</v>
      </c>
      <c r="Z18" s="44">
        <v>0</v>
      </c>
      <c r="AA18" s="44">
        <v>0</v>
      </c>
      <c r="AI18" s="21"/>
      <c r="AJ18" s="21"/>
    </row>
    <row r="19" spans="4:36" x14ac:dyDescent="0.25">
      <c r="D19" s="4">
        <v>0</v>
      </c>
      <c r="E19" s="4">
        <v>0</v>
      </c>
      <c r="F19" s="4">
        <v>0</v>
      </c>
      <c r="G19" s="4">
        <v>0</v>
      </c>
      <c r="I19" s="5">
        <v>202</v>
      </c>
      <c r="J19" s="5">
        <v>2</v>
      </c>
      <c r="K19" s="5">
        <v>213</v>
      </c>
      <c r="L19" s="5">
        <v>2</v>
      </c>
      <c r="N19" s="6">
        <v>0</v>
      </c>
      <c r="O19" s="6">
        <v>0</v>
      </c>
      <c r="P19" s="6">
        <v>0</v>
      </c>
      <c r="Q19" s="6">
        <v>0</v>
      </c>
      <c r="U19" s="20">
        <v>0</v>
      </c>
      <c r="V19" s="21">
        <v>0</v>
      </c>
      <c r="W19" s="14">
        <v>0</v>
      </c>
      <c r="Y19" s="44">
        <v>0</v>
      </c>
      <c r="Z19" s="44">
        <v>0</v>
      </c>
      <c r="AA19" s="44">
        <v>0</v>
      </c>
      <c r="AI19" s="21"/>
      <c r="AJ19" s="21"/>
    </row>
    <row r="20" spans="4:36" x14ac:dyDescent="0.25">
      <c r="D20" s="4">
        <v>196</v>
      </c>
      <c r="E20" s="4">
        <v>2</v>
      </c>
      <c r="F20" s="4">
        <v>206</v>
      </c>
      <c r="G20" s="4">
        <v>3</v>
      </c>
      <c r="I20" s="5">
        <v>186</v>
      </c>
      <c r="J20" s="5">
        <v>2</v>
      </c>
      <c r="K20" s="5">
        <v>0</v>
      </c>
      <c r="L20" s="5">
        <v>0</v>
      </c>
      <c r="N20" s="6">
        <v>0</v>
      </c>
      <c r="O20" s="6">
        <v>0</v>
      </c>
      <c r="P20" s="6">
        <v>212</v>
      </c>
      <c r="Q20" s="6">
        <v>3</v>
      </c>
      <c r="U20" s="20">
        <v>106</v>
      </c>
      <c r="V20" s="21">
        <v>4</v>
      </c>
      <c r="W20" s="14">
        <v>0</v>
      </c>
      <c r="Y20" s="44">
        <v>0</v>
      </c>
      <c r="Z20" s="44">
        <v>0</v>
      </c>
      <c r="AA20" s="44">
        <v>0</v>
      </c>
      <c r="AI20" s="21"/>
      <c r="AJ20" s="21"/>
    </row>
    <row r="21" spans="4:36" x14ac:dyDescent="0.25">
      <c r="D21" s="4">
        <v>206</v>
      </c>
      <c r="E21" s="4">
        <v>1</v>
      </c>
      <c r="F21" s="4">
        <v>214</v>
      </c>
      <c r="G21" s="4">
        <v>2</v>
      </c>
      <c r="I21" s="5">
        <v>195</v>
      </c>
      <c r="J21" s="5">
        <v>1</v>
      </c>
      <c r="K21" s="5">
        <v>211</v>
      </c>
      <c r="L21" s="5">
        <v>2</v>
      </c>
      <c r="N21" s="6">
        <v>0</v>
      </c>
      <c r="O21" s="6">
        <v>0</v>
      </c>
      <c r="P21" s="6">
        <v>199</v>
      </c>
      <c r="Q21" s="6">
        <v>3</v>
      </c>
      <c r="U21" s="20">
        <v>98</v>
      </c>
      <c r="V21" s="21">
        <v>2</v>
      </c>
      <c r="W21" s="14">
        <v>0</v>
      </c>
      <c r="Y21" s="44">
        <v>0</v>
      </c>
      <c r="Z21" s="44">
        <v>0</v>
      </c>
      <c r="AA21" s="44">
        <v>0</v>
      </c>
      <c r="AI21" s="21"/>
      <c r="AJ21" s="21"/>
    </row>
    <row r="22" spans="4:36" x14ac:dyDescent="0.25">
      <c r="D22" s="4">
        <v>199</v>
      </c>
      <c r="E22" s="4">
        <v>4</v>
      </c>
      <c r="F22" s="4">
        <v>203</v>
      </c>
      <c r="G22" s="4">
        <v>5</v>
      </c>
      <c r="I22" s="5">
        <v>202</v>
      </c>
      <c r="J22" s="5">
        <v>2</v>
      </c>
      <c r="K22" s="5">
        <v>218</v>
      </c>
      <c r="L22" s="5">
        <v>5</v>
      </c>
      <c r="N22" s="6">
        <v>202</v>
      </c>
      <c r="O22" s="6">
        <v>2</v>
      </c>
      <c r="P22" s="6">
        <v>203</v>
      </c>
      <c r="Q22" s="6">
        <v>3</v>
      </c>
      <c r="U22" s="20">
        <v>0</v>
      </c>
      <c r="V22" s="21">
        <v>0</v>
      </c>
      <c r="W22" s="14">
        <v>0</v>
      </c>
      <c r="Y22" s="44">
        <v>0</v>
      </c>
      <c r="Z22" s="44">
        <v>0</v>
      </c>
      <c r="AA22" s="44">
        <v>0</v>
      </c>
      <c r="AI22" s="21"/>
      <c r="AJ22" s="21"/>
    </row>
    <row r="23" spans="4:36" x14ac:dyDescent="0.25">
      <c r="D23" s="4">
        <v>209</v>
      </c>
      <c r="E23" s="4">
        <v>1</v>
      </c>
      <c r="F23" s="4">
        <v>202</v>
      </c>
      <c r="G23" s="4">
        <v>1</v>
      </c>
      <c r="I23" s="5">
        <v>200</v>
      </c>
      <c r="J23" s="5">
        <v>4</v>
      </c>
      <c r="K23" s="5">
        <v>201</v>
      </c>
      <c r="L23" s="5">
        <v>1</v>
      </c>
      <c r="N23" s="6">
        <v>0</v>
      </c>
      <c r="O23" s="6">
        <v>0</v>
      </c>
      <c r="P23" s="6">
        <v>0</v>
      </c>
      <c r="Q23" s="6">
        <v>0</v>
      </c>
      <c r="U23" s="20">
        <v>0</v>
      </c>
      <c r="V23" s="21">
        <v>0</v>
      </c>
      <c r="W23" s="14">
        <v>0</v>
      </c>
      <c r="Y23" s="44">
        <v>0</v>
      </c>
      <c r="Z23" s="44">
        <v>0</v>
      </c>
      <c r="AA23" s="44">
        <v>0</v>
      </c>
      <c r="AI23" s="21"/>
      <c r="AJ23" s="21"/>
    </row>
    <row r="24" spans="4:36" x14ac:dyDescent="0.25">
      <c r="D24" s="4">
        <v>0</v>
      </c>
      <c r="E24" s="4">
        <v>0</v>
      </c>
      <c r="F24" s="4">
        <v>197</v>
      </c>
      <c r="G24" s="4">
        <v>2</v>
      </c>
      <c r="I24" s="5">
        <v>198</v>
      </c>
      <c r="J24" s="5">
        <v>4</v>
      </c>
      <c r="K24" s="5">
        <v>209</v>
      </c>
      <c r="L24" s="5">
        <v>1</v>
      </c>
      <c r="N24" s="6">
        <v>193</v>
      </c>
      <c r="O24" s="6">
        <v>5</v>
      </c>
      <c r="P24" s="6">
        <v>0</v>
      </c>
      <c r="Q24" s="6">
        <v>0</v>
      </c>
      <c r="U24" s="22">
        <v>96</v>
      </c>
      <c r="V24" s="23">
        <v>4</v>
      </c>
      <c r="W24" s="17">
        <v>0</v>
      </c>
      <c r="Y24" s="44">
        <v>0</v>
      </c>
      <c r="Z24" s="44">
        <v>0</v>
      </c>
      <c r="AA24" s="44">
        <v>0</v>
      </c>
      <c r="AI24" s="21"/>
      <c r="AJ24" s="21"/>
    </row>
    <row r="25" spans="4:36" x14ac:dyDescent="0.25">
      <c r="D25" s="4">
        <v>0</v>
      </c>
      <c r="E25" s="4">
        <v>0</v>
      </c>
      <c r="F25" s="4">
        <v>217</v>
      </c>
      <c r="G25" s="4">
        <v>3</v>
      </c>
      <c r="I25" s="5">
        <v>0</v>
      </c>
      <c r="J25" s="5">
        <v>0</v>
      </c>
      <c r="K25" s="5">
        <v>0</v>
      </c>
      <c r="L25" s="5">
        <v>0</v>
      </c>
      <c r="N25" s="6">
        <v>186</v>
      </c>
      <c r="O25" s="6">
        <v>1</v>
      </c>
      <c r="P25" s="6">
        <v>0</v>
      </c>
      <c r="Q25" s="6">
        <v>0</v>
      </c>
      <c r="U25" s="24">
        <v>0</v>
      </c>
      <c r="V25" s="25">
        <v>0</v>
      </c>
      <c r="W25" s="11">
        <v>0</v>
      </c>
      <c r="Y25" s="44">
        <v>0</v>
      </c>
      <c r="Z25" s="44">
        <v>0</v>
      </c>
      <c r="AA25" s="44">
        <v>0</v>
      </c>
      <c r="AI25" s="21"/>
      <c r="AJ25" s="21"/>
    </row>
    <row r="26" spans="4:36" x14ac:dyDescent="0.25">
      <c r="D26" s="4">
        <v>205</v>
      </c>
      <c r="E26" s="4">
        <v>4</v>
      </c>
      <c r="F26" s="4">
        <v>199</v>
      </c>
      <c r="G26" s="4">
        <v>3</v>
      </c>
      <c r="I26" s="5">
        <v>195</v>
      </c>
      <c r="J26" s="5">
        <v>1</v>
      </c>
      <c r="K26" s="5">
        <v>202</v>
      </c>
      <c r="L26" s="5">
        <v>2</v>
      </c>
      <c r="N26" s="6">
        <v>0</v>
      </c>
      <c r="O26" s="6">
        <v>0</v>
      </c>
      <c r="P26" s="6">
        <v>0</v>
      </c>
      <c r="Q26" s="6">
        <v>0</v>
      </c>
      <c r="U26" s="26">
        <v>92</v>
      </c>
      <c r="V26" s="27">
        <v>4</v>
      </c>
      <c r="W26" s="14">
        <v>0</v>
      </c>
      <c r="Y26" s="44">
        <v>0</v>
      </c>
      <c r="Z26" s="44">
        <v>0</v>
      </c>
      <c r="AA26" s="44">
        <v>0</v>
      </c>
      <c r="AI26" s="27"/>
      <c r="AJ26" s="27"/>
    </row>
    <row r="27" spans="4:36" x14ac:dyDescent="0.25">
      <c r="D27" s="4">
        <v>202</v>
      </c>
      <c r="E27" s="4">
        <v>3</v>
      </c>
      <c r="F27" s="4">
        <v>0</v>
      </c>
      <c r="G27" s="4">
        <v>0</v>
      </c>
      <c r="I27" s="5">
        <v>198</v>
      </c>
      <c r="J27" s="5">
        <v>2</v>
      </c>
      <c r="K27" s="5">
        <v>203</v>
      </c>
      <c r="L27" s="5">
        <v>4</v>
      </c>
      <c r="N27" s="6">
        <v>189</v>
      </c>
      <c r="O27" s="6">
        <v>3</v>
      </c>
      <c r="P27" s="6">
        <v>200</v>
      </c>
      <c r="Q27" s="6">
        <v>4</v>
      </c>
      <c r="U27" s="26">
        <v>92</v>
      </c>
      <c r="V27" s="27">
        <v>5</v>
      </c>
      <c r="W27" s="14">
        <v>0</v>
      </c>
      <c r="Y27" s="44">
        <v>0</v>
      </c>
      <c r="Z27" s="44">
        <v>0</v>
      </c>
      <c r="AA27" s="44">
        <v>0</v>
      </c>
      <c r="AI27" s="27"/>
      <c r="AJ27" s="27"/>
    </row>
    <row r="28" spans="4:36" x14ac:dyDescent="0.25">
      <c r="D28" s="4"/>
      <c r="E28" s="4"/>
      <c r="F28" s="4"/>
      <c r="G28" s="4"/>
      <c r="I28" s="5"/>
      <c r="J28" s="5"/>
      <c r="K28" s="5"/>
      <c r="L28" s="5"/>
      <c r="N28" s="6"/>
      <c r="O28" s="6"/>
      <c r="P28" s="6"/>
      <c r="Q28" s="6"/>
      <c r="U28" s="26">
        <v>98</v>
      </c>
      <c r="V28" s="27">
        <v>5</v>
      </c>
      <c r="W28" s="14">
        <v>0</v>
      </c>
      <c r="Y28" s="44">
        <v>85</v>
      </c>
      <c r="Z28" s="44">
        <v>1</v>
      </c>
      <c r="AA28" s="44">
        <v>0</v>
      </c>
      <c r="AI28" s="27"/>
      <c r="AJ28" s="27"/>
    </row>
    <row r="29" spans="4:36" x14ac:dyDescent="0.25">
      <c r="D29" s="4" t="s">
        <v>9</v>
      </c>
      <c r="E29" s="4" t="s">
        <v>10</v>
      </c>
      <c r="F29" s="4" t="s">
        <v>11</v>
      </c>
      <c r="G29" s="4" t="s">
        <v>12</v>
      </c>
      <c r="I29" s="5" t="s">
        <v>9</v>
      </c>
      <c r="J29" s="5" t="s">
        <v>10</v>
      </c>
      <c r="K29" s="5" t="s">
        <v>11</v>
      </c>
      <c r="L29" s="5" t="s">
        <v>12</v>
      </c>
      <c r="N29" s="6" t="s">
        <v>9</v>
      </c>
      <c r="O29" s="6" t="s">
        <v>10</v>
      </c>
      <c r="P29" s="6" t="s">
        <v>11</v>
      </c>
      <c r="Q29" s="6" t="s">
        <v>12</v>
      </c>
      <c r="U29" s="26">
        <v>93</v>
      </c>
      <c r="V29" s="27">
        <v>2</v>
      </c>
      <c r="W29" s="14">
        <v>0</v>
      </c>
      <c r="Y29" s="44">
        <v>85</v>
      </c>
      <c r="Z29" s="44">
        <v>2</v>
      </c>
      <c r="AA29" s="44">
        <v>0</v>
      </c>
      <c r="AI29" s="27"/>
      <c r="AJ29" s="27"/>
    </row>
    <row r="30" spans="4:36" x14ac:dyDescent="0.25">
      <c r="D30" s="4">
        <v>0</v>
      </c>
      <c r="E30" s="4">
        <v>0</v>
      </c>
      <c r="F30" s="4">
        <v>63</v>
      </c>
      <c r="G30" s="4">
        <v>4</v>
      </c>
      <c r="I30" s="5">
        <v>49</v>
      </c>
      <c r="J30" s="5">
        <v>5</v>
      </c>
      <c r="K30" s="5">
        <v>0</v>
      </c>
      <c r="L30" s="5">
        <v>0</v>
      </c>
      <c r="N30" s="6">
        <v>35</v>
      </c>
      <c r="O30" s="6">
        <v>1</v>
      </c>
      <c r="P30" s="6">
        <v>47</v>
      </c>
      <c r="Q30" s="6">
        <v>2</v>
      </c>
      <c r="U30" s="26">
        <v>106</v>
      </c>
      <c r="V30" s="27">
        <v>3</v>
      </c>
      <c r="W30" s="14">
        <v>0</v>
      </c>
      <c r="Y30" s="44">
        <v>86</v>
      </c>
      <c r="Z30" s="44">
        <v>2</v>
      </c>
      <c r="AA30" s="44">
        <v>0</v>
      </c>
      <c r="AI30" s="27"/>
      <c r="AJ30" s="27"/>
    </row>
    <row r="31" spans="4:36" x14ac:dyDescent="0.25">
      <c r="D31" s="4">
        <v>39</v>
      </c>
      <c r="E31" s="4">
        <v>5</v>
      </c>
      <c r="F31" s="4">
        <v>0</v>
      </c>
      <c r="G31" s="4">
        <v>0</v>
      </c>
      <c r="I31" s="5">
        <v>52</v>
      </c>
      <c r="J31" s="5">
        <v>1</v>
      </c>
      <c r="K31" s="5">
        <v>0</v>
      </c>
      <c r="L31" s="5">
        <v>0</v>
      </c>
      <c r="N31" s="6">
        <v>53</v>
      </c>
      <c r="O31" s="6">
        <v>5</v>
      </c>
      <c r="P31" s="6">
        <v>0</v>
      </c>
      <c r="Q31" s="6">
        <v>0</v>
      </c>
      <c r="U31" s="26">
        <v>0</v>
      </c>
      <c r="V31" s="27">
        <v>0</v>
      </c>
      <c r="W31" s="14">
        <v>0</v>
      </c>
      <c r="Y31" s="44">
        <v>88</v>
      </c>
      <c r="Z31" s="44">
        <v>3</v>
      </c>
      <c r="AA31" s="44">
        <v>0</v>
      </c>
      <c r="AI31" s="27"/>
      <c r="AJ31" s="27"/>
    </row>
    <row r="32" spans="4:36" x14ac:dyDescent="0.25">
      <c r="D32" s="4">
        <v>38</v>
      </c>
      <c r="E32" s="4">
        <v>2</v>
      </c>
      <c r="F32" s="4">
        <v>0</v>
      </c>
      <c r="G32" s="4">
        <v>0</v>
      </c>
      <c r="I32" s="5">
        <v>0</v>
      </c>
      <c r="J32" s="5">
        <v>0</v>
      </c>
      <c r="K32" s="5">
        <v>0</v>
      </c>
      <c r="L32" s="5">
        <v>0</v>
      </c>
      <c r="N32" s="6">
        <v>44</v>
      </c>
      <c r="O32" s="6">
        <v>3</v>
      </c>
      <c r="P32" s="6">
        <v>70</v>
      </c>
      <c r="Q32" s="6">
        <v>1</v>
      </c>
      <c r="U32" s="26">
        <v>103</v>
      </c>
      <c r="V32" s="27">
        <v>1</v>
      </c>
      <c r="W32" s="14">
        <v>0</v>
      </c>
      <c r="Y32" s="44">
        <v>91</v>
      </c>
      <c r="Z32" s="44">
        <v>5</v>
      </c>
      <c r="AA32" s="44">
        <v>0</v>
      </c>
      <c r="AI32" s="27"/>
      <c r="AJ32" s="27"/>
    </row>
    <row r="33" spans="4:37" x14ac:dyDescent="0.25">
      <c r="D33" s="4">
        <v>0</v>
      </c>
      <c r="E33" s="4">
        <v>0</v>
      </c>
      <c r="F33" s="4">
        <v>0</v>
      </c>
      <c r="G33" s="4">
        <v>0</v>
      </c>
      <c r="I33" s="5">
        <v>0</v>
      </c>
      <c r="J33" s="5">
        <v>0</v>
      </c>
      <c r="K33" s="5">
        <v>60</v>
      </c>
      <c r="L33" s="5">
        <v>4</v>
      </c>
      <c r="N33" s="6">
        <v>0</v>
      </c>
      <c r="O33" s="6">
        <v>0</v>
      </c>
      <c r="P33" s="6">
        <v>52</v>
      </c>
      <c r="Q33" s="6">
        <v>1</v>
      </c>
      <c r="U33" s="26">
        <v>93</v>
      </c>
      <c r="V33" s="27">
        <v>2</v>
      </c>
      <c r="W33" s="14">
        <v>0</v>
      </c>
      <c r="Y33" s="44">
        <v>92</v>
      </c>
      <c r="Z33" s="44">
        <v>4</v>
      </c>
      <c r="AA33" s="44">
        <v>0</v>
      </c>
      <c r="AI33" s="27"/>
      <c r="AJ33" s="27"/>
    </row>
    <row r="34" spans="4:37" x14ac:dyDescent="0.25">
      <c r="D34" s="4">
        <v>47</v>
      </c>
      <c r="E34" s="4">
        <v>5</v>
      </c>
      <c r="F34" s="4">
        <v>59</v>
      </c>
      <c r="G34" s="4">
        <v>5</v>
      </c>
      <c r="I34" s="5">
        <v>36</v>
      </c>
      <c r="J34" s="5">
        <v>2</v>
      </c>
      <c r="K34" s="5">
        <v>57</v>
      </c>
      <c r="L34" s="5">
        <v>1</v>
      </c>
      <c r="N34" s="6">
        <v>48</v>
      </c>
      <c r="O34" s="6">
        <v>5</v>
      </c>
      <c r="P34" s="6">
        <v>68</v>
      </c>
      <c r="Q34" s="6">
        <v>2</v>
      </c>
      <c r="U34" s="28">
        <v>0</v>
      </c>
      <c r="V34" s="29">
        <v>0</v>
      </c>
      <c r="W34" s="17">
        <v>0</v>
      </c>
      <c r="Y34" s="44">
        <v>92</v>
      </c>
      <c r="Z34" s="44">
        <v>5</v>
      </c>
      <c r="AA34" s="44">
        <v>0</v>
      </c>
      <c r="AI34" s="27"/>
      <c r="AJ34" s="27"/>
    </row>
    <row r="35" spans="4:37" x14ac:dyDescent="0.25">
      <c r="D35" s="4">
        <v>35</v>
      </c>
      <c r="E35" s="4">
        <v>1</v>
      </c>
      <c r="F35" s="4">
        <v>66</v>
      </c>
      <c r="G35" s="4">
        <v>5</v>
      </c>
      <c r="I35" s="5">
        <v>0</v>
      </c>
      <c r="J35" s="5">
        <v>0</v>
      </c>
      <c r="K35" s="5">
        <v>70</v>
      </c>
      <c r="L35" s="5">
        <v>4</v>
      </c>
      <c r="N35" s="6">
        <v>0</v>
      </c>
      <c r="O35" s="6">
        <v>0</v>
      </c>
      <c r="P35" s="6">
        <v>50</v>
      </c>
      <c r="Q35" s="6">
        <v>2</v>
      </c>
      <c r="U35" s="9">
        <v>103</v>
      </c>
      <c r="V35" s="30">
        <v>0</v>
      </c>
      <c r="W35" s="31">
        <v>2</v>
      </c>
      <c r="Y35" s="44">
        <v>93</v>
      </c>
      <c r="Z35" s="44">
        <v>2</v>
      </c>
      <c r="AA35" s="44">
        <v>0</v>
      </c>
      <c r="AI35" s="27"/>
      <c r="AJ35" s="27"/>
    </row>
    <row r="36" spans="4:37" x14ac:dyDescent="0.25">
      <c r="D36" s="4">
        <v>0</v>
      </c>
      <c r="E36" s="4">
        <v>0</v>
      </c>
      <c r="F36" s="4">
        <v>0</v>
      </c>
      <c r="G36" s="4">
        <v>0</v>
      </c>
      <c r="I36" s="5">
        <v>58</v>
      </c>
      <c r="J36" s="5">
        <v>5</v>
      </c>
      <c r="K36" s="5">
        <v>0</v>
      </c>
      <c r="L36" s="5">
        <v>0</v>
      </c>
      <c r="N36" s="6">
        <v>0</v>
      </c>
      <c r="O36" s="6">
        <v>0</v>
      </c>
      <c r="P36" s="6">
        <v>68</v>
      </c>
      <c r="Q36" s="6">
        <v>3</v>
      </c>
      <c r="U36" s="12">
        <v>0</v>
      </c>
      <c r="V36" s="32">
        <v>0</v>
      </c>
      <c r="W36" s="33">
        <v>0</v>
      </c>
      <c r="Y36" s="44">
        <v>93</v>
      </c>
      <c r="Z36" s="44">
        <v>2</v>
      </c>
      <c r="AA36" s="44">
        <v>0</v>
      </c>
      <c r="AI36" s="13"/>
      <c r="AK36" s="13"/>
    </row>
    <row r="37" spans="4:37" x14ac:dyDescent="0.25">
      <c r="D37" s="4">
        <v>40</v>
      </c>
      <c r="E37" s="4">
        <v>4</v>
      </c>
      <c r="F37" s="4">
        <v>45</v>
      </c>
      <c r="G37" s="4">
        <v>3</v>
      </c>
      <c r="I37" s="5">
        <v>0</v>
      </c>
      <c r="J37" s="5">
        <v>0</v>
      </c>
      <c r="K37" s="5">
        <v>51</v>
      </c>
      <c r="L37" s="5">
        <v>3</v>
      </c>
      <c r="N37" s="6">
        <v>0</v>
      </c>
      <c r="O37" s="6">
        <v>0</v>
      </c>
      <c r="P37" s="6">
        <v>66</v>
      </c>
      <c r="Q37" s="6">
        <v>2</v>
      </c>
      <c r="U37" s="12">
        <v>101</v>
      </c>
      <c r="V37" s="32">
        <v>0</v>
      </c>
      <c r="W37" s="33">
        <v>2</v>
      </c>
      <c r="Y37" s="44">
        <v>96</v>
      </c>
      <c r="Z37" s="44">
        <v>5</v>
      </c>
      <c r="AA37" s="44">
        <v>0</v>
      </c>
      <c r="AI37" s="13"/>
      <c r="AK37" s="13"/>
    </row>
    <row r="38" spans="4:37" x14ac:dyDescent="0.25">
      <c r="D38" s="4">
        <v>0</v>
      </c>
      <c r="E38" s="4">
        <v>0</v>
      </c>
      <c r="F38" s="4">
        <v>0</v>
      </c>
      <c r="G38" s="4">
        <v>0</v>
      </c>
      <c r="I38" s="5">
        <v>58</v>
      </c>
      <c r="J38" s="5">
        <v>5</v>
      </c>
      <c r="K38" s="5">
        <v>46</v>
      </c>
      <c r="L38" s="5">
        <v>3</v>
      </c>
      <c r="N38" s="6">
        <v>38</v>
      </c>
      <c r="O38" s="6">
        <v>4</v>
      </c>
      <c r="P38" s="6">
        <v>0</v>
      </c>
      <c r="Q38" s="6">
        <v>0</v>
      </c>
      <c r="U38" s="12">
        <v>108</v>
      </c>
      <c r="V38" s="32">
        <v>0</v>
      </c>
      <c r="W38" s="33">
        <v>2</v>
      </c>
      <c r="Y38" s="44">
        <v>96</v>
      </c>
      <c r="Z38" s="44">
        <v>4</v>
      </c>
      <c r="AA38" s="44">
        <v>0</v>
      </c>
      <c r="AI38" s="13"/>
      <c r="AK38" s="13"/>
    </row>
    <row r="39" spans="4:37" x14ac:dyDescent="0.25">
      <c r="D39" s="4">
        <v>55</v>
      </c>
      <c r="E39" s="4">
        <v>3</v>
      </c>
      <c r="F39" s="4">
        <v>65</v>
      </c>
      <c r="G39" s="4">
        <v>5</v>
      </c>
      <c r="I39" s="5">
        <v>51</v>
      </c>
      <c r="J39" s="5">
        <v>5</v>
      </c>
      <c r="K39" s="5">
        <v>50</v>
      </c>
      <c r="L39" s="5">
        <v>1</v>
      </c>
      <c r="N39" s="6">
        <v>0</v>
      </c>
      <c r="O39" s="6">
        <v>0</v>
      </c>
      <c r="P39" s="6">
        <v>0</v>
      </c>
      <c r="Q39" s="6">
        <v>0</v>
      </c>
      <c r="U39" s="12">
        <v>117</v>
      </c>
      <c r="V39" s="32">
        <v>0</v>
      </c>
      <c r="W39" s="33">
        <v>4</v>
      </c>
      <c r="Y39" s="44">
        <v>97</v>
      </c>
      <c r="Z39" s="44">
        <v>0</v>
      </c>
      <c r="AA39" s="44">
        <v>4</v>
      </c>
      <c r="AI39" s="13"/>
      <c r="AK39" s="13"/>
    </row>
    <row r="40" spans="4:37" x14ac:dyDescent="0.25">
      <c r="U40" s="12">
        <v>98</v>
      </c>
      <c r="V40" s="32">
        <v>0</v>
      </c>
      <c r="W40" s="33">
        <v>1</v>
      </c>
      <c r="Y40" s="44">
        <v>98</v>
      </c>
      <c r="Z40" s="44">
        <v>2</v>
      </c>
      <c r="AA40" s="44">
        <v>0</v>
      </c>
      <c r="AI40" s="13"/>
      <c r="AK40" s="13"/>
    </row>
    <row r="41" spans="4:37" x14ac:dyDescent="0.25">
      <c r="U41" s="12">
        <v>103</v>
      </c>
      <c r="V41" s="32">
        <v>0</v>
      </c>
      <c r="W41" s="33">
        <v>1</v>
      </c>
      <c r="Y41" s="44">
        <v>98</v>
      </c>
      <c r="Z41" s="44">
        <v>5</v>
      </c>
      <c r="AA41" s="44">
        <v>0</v>
      </c>
      <c r="AI41" s="13"/>
      <c r="AK41" s="13"/>
    </row>
    <row r="42" spans="4:37" x14ac:dyDescent="0.25">
      <c r="U42" s="12">
        <v>107</v>
      </c>
      <c r="V42" s="32">
        <v>0</v>
      </c>
      <c r="W42" s="33">
        <v>1</v>
      </c>
      <c r="Y42" s="44">
        <v>98</v>
      </c>
      <c r="Z42" s="44">
        <v>0</v>
      </c>
      <c r="AA42" s="44">
        <v>1</v>
      </c>
      <c r="AI42" s="13"/>
      <c r="AK42" s="13"/>
    </row>
    <row r="43" spans="4:37" x14ac:dyDescent="0.25">
      <c r="U43" s="12">
        <v>0</v>
      </c>
      <c r="V43" s="32">
        <v>0</v>
      </c>
      <c r="W43" s="33">
        <v>0</v>
      </c>
      <c r="Y43" s="44">
        <v>100</v>
      </c>
      <c r="Z43" s="44">
        <v>0</v>
      </c>
      <c r="AA43" s="44">
        <v>1</v>
      </c>
      <c r="AI43" s="13"/>
      <c r="AK43" s="13"/>
    </row>
    <row r="44" spans="4:37" x14ac:dyDescent="0.25">
      <c r="U44" s="15">
        <v>0</v>
      </c>
      <c r="V44" s="34">
        <v>0</v>
      </c>
      <c r="W44" s="35">
        <v>0</v>
      </c>
      <c r="Y44" s="44">
        <v>100</v>
      </c>
      <c r="Z44" s="44">
        <v>0</v>
      </c>
      <c r="AA44" s="44">
        <v>4</v>
      </c>
      <c r="AI44" s="13"/>
      <c r="AK44" s="13"/>
    </row>
    <row r="45" spans="4:37" x14ac:dyDescent="0.25">
      <c r="U45" s="18">
        <v>119</v>
      </c>
      <c r="V45" s="30">
        <v>0</v>
      </c>
      <c r="W45" s="36">
        <v>2</v>
      </c>
      <c r="Y45" s="44">
        <v>101</v>
      </c>
      <c r="Z45" s="44">
        <v>1</v>
      </c>
      <c r="AA45" s="44">
        <v>0</v>
      </c>
      <c r="AI45" s="13"/>
      <c r="AK45" s="13"/>
    </row>
    <row r="46" spans="4:37" x14ac:dyDescent="0.25">
      <c r="U46" s="20">
        <v>0</v>
      </c>
      <c r="V46" s="32">
        <v>0</v>
      </c>
      <c r="W46" s="37">
        <v>0</v>
      </c>
      <c r="Y46" s="44">
        <v>101</v>
      </c>
      <c r="Z46" s="44">
        <v>0</v>
      </c>
      <c r="AA46" s="44">
        <v>2</v>
      </c>
      <c r="AI46" s="21"/>
      <c r="AK46" s="21"/>
    </row>
    <row r="47" spans="4:37" x14ac:dyDescent="0.25">
      <c r="U47" s="20">
        <v>120</v>
      </c>
      <c r="V47" s="32">
        <v>0</v>
      </c>
      <c r="W47" s="37">
        <v>3</v>
      </c>
      <c r="Y47" s="44">
        <v>103</v>
      </c>
      <c r="Z47" s="44">
        <v>1</v>
      </c>
      <c r="AA47" s="44">
        <v>0</v>
      </c>
      <c r="AI47" s="21"/>
      <c r="AK47" s="21"/>
    </row>
    <row r="48" spans="4:37" x14ac:dyDescent="0.25">
      <c r="U48" s="20">
        <v>97</v>
      </c>
      <c r="V48" s="32">
        <v>0</v>
      </c>
      <c r="W48" s="37">
        <v>4</v>
      </c>
      <c r="Y48" s="44">
        <v>103</v>
      </c>
      <c r="Z48" s="44">
        <v>1</v>
      </c>
      <c r="AA48" s="44">
        <v>0</v>
      </c>
      <c r="AI48" s="21"/>
      <c r="AK48" s="21"/>
    </row>
    <row r="49" spans="21:37" x14ac:dyDescent="0.25">
      <c r="U49" s="20">
        <v>0</v>
      </c>
      <c r="V49" s="32">
        <v>0</v>
      </c>
      <c r="W49" s="37">
        <v>0</v>
      </c>
      <c r="Y49" s="44">
        <v>103</v>
      </c>
      <c r="Z49" s="44">
        <v>0</v>
      </c>
      <c r="AA49" s="44">
        <v>2</v>
      </c>
      <c r="AI49" s="21"/>
      <c r="AK49" s="21"/>
    </row>
    <row r="50" spans="21:37" x14ac:dyDescent="0.25">
      <c r="U50" s="20">
        <v>112</v>
      </c>
      <c r="V50" s="32">
        <v>0</v>
      </c>
      <c r="W50" s="37">
        <v>2</v>
      </c>
      <c r="Y50" s="44">
        <v>103</v>
      </c>
      <c r="Z50" s="44">
        <v>0</v>
      </c>
      <c r="AA50" s="44">
        <v>1</v>
      </c>
      <c r="AI50" s="21"/>
      <c r="AK50" s="21"/>
    </row>
    <row r="51" spans="21:37" x14ac:dyDescent="0.25">
      <c r="U51" s="20">
        <v>0</v>
      </c>
      <c r="V51" s="32">
        <v>0</v>
      </c>
      <c r="W51" s="37">
        <v>0</v>
      </c>
      <c r="Y51" s="44">
        <v>104</v>
      </c>
      <c r="Z51" s="44">
        <v>3</v>
      </c>
      <c r="AA51" s="44">
        <v>0</v>
      </c>
      <c r="AI51" s="21"/>
      <c r="AK51" s="21"/>
    </row>
    <row r="52" spans="21:37" x14ac:dyDescent="0.25">
      <c r="U52" s="20">
        <v>0</v>
      </c>
      <c r="V52" s="32">
        <v>0</v>
      </c>
      <c r="W52" s="37">
        <v>0</v>
      </c>
      <c r="Y52" s="44">
        <v>106</v>
      </c>
      <c r="Z52" s="44">
        <v>5</v>
      </c>
      <c r="AA52" s="44">
        <v>0</v>
      </c>
      <c r="AI52" s="21"/>
      <c r="AK52" s="21"/>
    </row>
    <row r="53" spans="21:37" x14ac:dyDescent="0.25">
      <c r="U53" s="20">
        <v>0</v>
      </c>
      <c r="V53" s="32">
        <v>0</v>
      </c>
      <c r="W53" s="37">
        <v>0</v>
      </c>
      <c r="Y53" s="44">
        <v>106</v>
      </c>
      <c r="Z53" s="44">
        <v>4</v>
      </c>
      <c r="AA53" s="44">
        <v>0</v>
      </c>
      <c r="AI53" s="21"/>
      <c r="AK53" s="21"/>
    </row>
    <row r="54" spans="21:37" x14ac:dyDescent="0.25">
      <c r="U54" s="22">
        <v>0</v>
      </c>
      <c r="V54" s="34">
        <v>0</v>
      </c>
      <c r="W54" s="38">
        <v>0</v>
      </c>
      <c r="Y54" s="44">
        <v>106</v>
      </c>
      <c r="Z54" s="44">
        <v>3</v>
      </c>
      <c r="AA54" s="44">
        <v>0</v>
      </c>
      <c r="AI54" s="21"/>
      <c r="AK54" s="21"/>
    </row>
    <row r="55" spans="21:37" x14ac:dyDescent="0.25">
      <c r="U55" s="24">
        <v>100</v>
      </c>
      <c r="V55" s="30">
        <v>0</v>
      </c>
      <c r="W55" s="39">
        <v>1</v>
      </c>
      <c r="Y55" s="44">
        <v>106</v>
      </c>
      <c r="Z55" s="44">
        <v>0</v>
      </c>
      <c r="AA55" s="44">
        <v>1</v>
      </c>
      <c r="AI55" s="21"/>
      <c r="AK55" s="21"/>
    </row>
    <row r="56" spans="21:37" x14ac:dyDescent="0.25">
      <c r="U56" s="26">
        <v>0</v>
      </c>
      <c r="V56" s="32">
        <v>0</v>
      </c>
      <c r="W56" s="40">
        <v>0</v>
      </c>
      <c r="Y56" s="44">
        <v>107</v>
      </c>
      <c r="Z56" s="44">
        <v>0</v>
      </c>
      <c r="AA56" s="44">
        <v>1</v>
      </c>
      <c r="AI56" s="27"/>
      <c r="AK56" s="27"/>
    </row>
    <row r="57" spans="21:37" x14ac:dyDescent="0.25">
      <c r="U57" s="26">
        <v>0</v>
      </c>
      <c r="V57" s="32">
        <v>0</v>
      </c>
      <c r="W57" s="40">
        <v>0</v>
      </c>
      <c r="Y57" s="44">
        <v>108</v>
      </c>
      <c r="Z57" s="44">
        <v>0</v>
      </c>
      <c r="AA57" s="44">
        <v>2</v>
      </c>
      <c r="AI57" s="27"/>
      <c r="AK57" s="27"/>
    </row>
    <row r="58" spans="21:37" x14ac:dyDescent="0.25">
      <c r="U58" s="26">
        <v>0</v>
      </c>
      <c r="V58" s="32">
        <v>0</v>
      </c>
      <c r="W58" s="40">
        <v>0</v>
      </c>
      <c r="Y58" s="44">
        <v>109</v>
      </c>
      <c r="Z58" s="44">
        <v>3</v>
      </c>
      <c r="AA58" s="44">
        <v>0</v>
      </c>
      <c r="AI58" s="27"/>
      <c r="AK58" s="27"/>
    </row>
    <row r="59" spans="21:37" x14ac:dyDescent="0.25">
      <c r="U59" s="26">
        <v>116</v>
      </c>
      <c r="V59" s="32">
        <v>0</v>
      </c>
      <c r="W59" s="40">
        <v>3</v>
      </c>
      <c r="Y59" s="44">
        <v>109</v>
      </c>
      <c r="Z59" s="44">
        <v>0</v>
      </c>
      <c r="AA59" s="44">
        <v>3</v>
      </c>
      <c r="AI59" s="27"/>
      <c r="AK59" s="27"/>
    </row>
    <row r="60" spans="21:37" x14ac:dyDescent="0.25">
      <c r="U60" s="26">
        <v>109</v>
      </c>
      <c r="V60" s="32">
        <v>0</v>
      </c>
      <c r="W60" s="40">
        <v>3</v>
      </c>
      <c r="Y60" s="44">
        <v>112</v>
      </c>
      <c r="Z60" s="44">
        <v>0</v>
      </c>
      <c r="AA60" s="44">
        <v>2</v>
      </c>
      <c r="AI60" s="27"/>
      <c r="AK60" s="27"/>
    </row>
    <row r="61" spans="21:37" x14ac:dyDescent="0.25">
      <c r="U61" s="26">
        <v>0</v>
      </c>
      <c r="V61" s="32">
        <v>0</v>
      </c>
      <c r="W61" s="40">
        <v>0</v>
      </c>
      <c r="Y61" s="44">
        <v>116</v>
      </c>
      <c r="Z61" s="44">
        <v>0</v>
      </c>
      <c r="AA61" s="44">
        <v>3</v>
      </c>
      <c r="AI61" s="27"/>
      <c r="AK61" s="27"/>
    </row>
    <row r="62" spans="21:37" x14ac:dyDescent="0.25">
      <c r="U62" s="26">
        <v>0</v>
      </c>
      <c r="V62" s="32">
        <v>0</v>
      </c>
      <c r="W62" s="40">
        <v>0</v>
      </c>
      <c r="Y62" s="44">
        <v>117</v>
      </c>
      <c r="Z62" s="44">
        <v>0</v>
      </c>
      <c r="AA62" s="44">
        <v>4</v>
      </c>
      <c r="AI62" s="27"/>
      <c r="AK62" s="27"/>
    </row>
    <row r="63" spans="21:37" x14ac:dyDescent="0.25">
      <c r="U63" s="26">
        <v>106</v>
      </c>
      <c r="V63" s="32">
        <v>0</v>
      </c>
      <c r="W63" s="40">
        <v>1</v>
      </c>
      <c r="Y63" s="44">
        <v>119</v>
      </c>
      <c r="Z63" s="44">
        <v>0</v>
      </c>
      <c r="AA63" s="44">
        <v>2</v>
      </c>
      <c r="AI63" s="27"/>
      <c r="AK63" s="27"/>
    </row>
    <row r="64" spans="21:37" x14ac:dyDescent="0.25">
      <c r="U64" s="28">
        <v>100</v>
      </c>
      <c r="V64" s="34">
        <v>0</v>
      </c>
      <c r="W64" s="41">
        <v>4</v>
      </c>
      <c r="Y64" s="44">
        <v>120</v>
      </c>
      <c r="Z64" s="44">
        <v>0</v>
      </c>
      <c r="AA64" s="44">
        <v>3</v>
      </c>
      <c r="AI64" s="27"/>
      <c r="AK64" s="27"/>
    </row>
    <row r="65" spans="35:37" x14ac:dyDescent="0.25">
      <c r="AI65" s="27"/>
      <c r="AK65" s="27"/>
    </row>
  </sheetData>
  <mergeCells count="4">
    <mergeCell ref="D2:Q2"/>
    <mergeCell ref="U2:W2"/>
    <mergeCell ref="Y2:AA2"/>
    <mergeCell ref="AC2:C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B2C075-A49A-47F3-99FE-EDDC5A6E5B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Guilherme Lopes Pinheiro Soares</dc:creator>
  <cp:lastModifiedBy>Miguel Guilherme Lopes Pinheiro Soares</cp:lastModifiedBy>
  <dcterms:created xsi:type="dcterms:W3CDTF">2026-05-28T18:35:37Z</dcterms:created>
  <dcterms:modified xsi:type="dcterms:W3CDTF">2026-05-28T23:38:59Z</dcterms:modified>
</cp:coreProperties>
</file>